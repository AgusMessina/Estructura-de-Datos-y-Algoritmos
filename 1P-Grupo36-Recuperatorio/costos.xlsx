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stosTodos" sheetId="1" r:id="rId4"/>
    <sheet state="visible" name="LSO" sheetId="2" r:id="rId5"/>
    <sheet state="visible" name="LVO" sheetId="3" r:id="rId6"/>
    <sheet state="visible" name="ABB" sheetId="4" r:id="rId7"/>
  </sheets>
  <definedNames>
    <definedName hidden="1" localSheetId="1" name="_xlnm._FilterDatabase">LSO!$B$1:$E$60</definedName>
    <definedName hidden="1" localSheetId="2" name="_xlnm._FilterDatabase">LVO!$B$1:$E$60</definedName>
    <definedName hidden="1" localSheetId="3" name="_xlnm._FilterDatabase">ABB!$B$1:$E$63</definedName>
  </definedNames>
  <calcPr/>
  <extLst>
    <ext uri="GoogleSheetsCustomDataVersion2">
      <go:sheetsCustomData xmlns:go="http://customooxmlschemas.google.com/" r:id="rId8" roundtripDataChecksum="GsaRObE5g+Zsbo/4pHL/z3LaynRhXwQ7mgpC99NSqBU="/>
    </ext>
  </extLst>
</workbook>
</file>

<file path=xl/sharedStrings.xml><?xml version="1.0" encoding="utf-8"?>
<sst xmlns="http://schemas.openxmlformats.org/spreadsheetml/2006/main" count="502" uniqueCount="36">
  <si>
    <t>operación</t>
  </si>
  <si>
    <t>dni</t>
  </si>
  <si>
    <t>Exito</t>
  </si>
  <si>
    <t>COSTO</t>
  </si>
  <si>
    <t>LSOBB</t>
  </si>
  <si>
    <t>Evoc</t>
  </si>
  <si>
    <t>LVO</t>
  </si>
  <si>
    <t>ABB</t>
  </si>
  <si>
    <t>NO</t>
  </si>
  <si>
    <t>Total Altas exit.</t>
  </si>
  <si>
    <t>← puede no contarse</t>
  </si>
  <si>
    <t>← puede no contarse o ser 0</t>
  </si>
  <si>
    <t>Alta</t>
  </si>
  <si>
    <t>SI</t>
  </si>
  <si>
    <t>Max. Alta exit.</t>
  </si>
  <si>
    <t>Medio Alta exit.</t>
  </si>
  <si>
    <t>Total Bajas exit.</t>
  </si>
  <si>
    <t>← repetido, dif may/min</t>
  </si>
  <si>
    <t>Max. Baja exit.</t>
  </si>
  <si>
    <t>Medio Baja exit.</t>
  </si>
  <si>
    <t>← no ex en lista sec</t>
  </si>
  <si>
    <t>Total evoc exit.</t>
  </si>
  <si>
    <t>Max. evoc exit.</t>
  </si>
  <si>
    <t>Medio evoc exit.</t>
  </si>
  <si>
    <t>Total evoc NO exit.</t>
  </si>
  <si>
    <t>Baja</t>
  </si>
  <si>
    <t>Max. Evoc NO exit.</t>
  </si>
  <si>
    <t>Medio evoc NO exit.</t>
  </si>
  <si>
    <t xml:space="preserve">
Recordar cambiar el tamaño del arreglo a 10</t>
  </si>
  <si>
    <t>vacía</t>
  </si>
  <si>
    <t>← no existe</t>
  </si>
  <si>
    <t>← dif datos</t>
  </si>
  <si>
    <t>← más infinito, valor no permitido puede no contar</t>
  </si>
  <si>
    <t>← est. Vacía puede no contarse o 0</t>
  </si>
  <si>
    <t>EvocNO</t>
  </si>
  <si>
    <t>← más infinito, valor no permitido no contar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</si>
</sst>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0.0"/>
      <color rgb="FF000000"/>
      <name val="Arial"/>
    </font>
    <font>
      <b/>
      <sz val="10.0"/>
      <color rgb="FF000000"/>
      <name val="Arial"/>
    </font>
    <font>
      <sz val="13.0"/>
      <color rgb="FF000000"/>
      <name val="Arial"/>
    </font>
    <font/>
  </fonts>
  <fills count="10">
    <fill>
      <patternFill patternType="none"/>
    </fill>
    <fill>
      <patternFill patternType="lightGray"/>
    </fill>
    <fill>
      <patternFill patternType="solid">
        <fgColor rgb="FFDDDDDD"/>
        <bgColor rgb="FFDDDDDD"/>
      </patternFill>
    </fill>
    <fill>
      <patternFill patternType="solid">
        <fgColor rgb="FF5EB91E"/>
        <bgColor rgb="FF5EB91E"/>
      </patternFill>
    </fill>
    <fill>
      <patternFill patternType="solid">
        <fgColor rgb="FFFF0000"/>
        <bgColor rgb="FFFF0000"/>
      </patternFill>
    </fill>
    <fill>
      <patternFill patternType="solid">
        <fgColor rgb="FFFF7F00"/>
        <bgColor rgb="FFFF7F00"/>
      </patternFill>
    </fill>
    <fill>
      <patternFill patternType="solid">
        <fgColor rgb="FF729FCF"/>
        <bgColor rgb="FF729FCF"/>
      </patternFill>
    </fill>
    <fill>
      <patternFill patternType="solid">
        <fgColor rgb="FFFFFF6D"/>
        <bgColor rgb="FFFFFF6D"/>
      </patternFill>
    </fill>
    <fill>
      <patternFill patternType="solid">
        <fgColor rgb="FF00FF00"/>
        <bgColor rgb="FF00FF00"/>
      </patternFill>
    </fill>
    <fill>
      <patternFill patternType="solid">
        <fgColor rgb="FFFF8000"/>
        <bgColor rgb="FFFF8000"/>
      </patternFill>
    </fill>
  </fills>
  <borders count="4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0" fillId="0" fontId="1" numFmtId="0" xfId="0" applyAlignment="1" applyFont="1">
      <alignment shrinkToFit="0" vertical="bottom" wrapText="0"/>
    </xf>
    <xf borderId="1" fillId="2" fontId="1" numFmtId="0" xfId="0" applyAlignment="1" applyBorder="1" applyFill="1" applyFont="1">
      <alignment horizontal="left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3" numFmtId="0" xfId="0" applyAlignment="1" applyFont="1">
      <alignment shrinkToFit="0" vertical="bottom" wrapText="0"/>
    </xf>
    <xf borderId="1" fillId="3" fontId="3" numFmtId="0" xfId="0" applyAlignment="1" applyBorder="1" applyFill="1" applyFont="1">
      <alignment horizontal="center" shrinkToFit="0" vertical="bottom" wrapText="0"/>
    </xf>
    <xf borderId="1" fillId="0" fontId="1" numFmtId="0" xfId="0" applyAlignment="1" applyBorder="1" applyFont="1">
      <alignment horizontal="center" shrinkToFit="0" vertical="bottom" wrapText="0"/>
    </xf>
    <xf borderId="1" fillId="0" fontId="1" numFmtId="0" xfId="0" applyAlignment="1" applyBorder="1" applyFont="1">
      <alignment horizontal="left" shrinkToFit="0" vertical="bottom" wrapText="0"/>
    </xf>
    <xf borderId="1" fillId="4" fontId="1" numFmtId="0" xfId="0" applyAlignment="1" applyBorder="1" applyFill="1" applyFont="1">
      <alignment horizontal="center" shrinkToFit="0" vertical="bottom" wrapText="0"/>
    </xf>
    <xf borderId="1" fillId="5" fontId="1" numFmtId="0" xfId="0" applyAlignment="1" applyBorder="1" applyFill="1" applyFont="1">
      <alignment horizontal="right" shrinkToFit="0" vertical="bottom" wrapText="0"/>
    </xf>
    <xf borderId="2" fillId="0" fontId="3" numFmtId="0" xfId="0" applyAlignment="1" applyBorder="1" applyFont="1">
      <alignment horizontal="center" shrinkToFit="0" vertical="center" wrapText="0"/>
    </xf>
    <xf borderId="3" fillId="0" fontId="4" numFmtId="0" xfId="0" applyBorder="1" applyFont="1"/>
    <xf borderId="1" fillId="6" fontId="3" numFmtId="0" xfId="0" applyAlignment="1" applyBorder="1" applyFill="1" applyFont="1">
      <alignment shrinkToFit="0" vertical="bottom" wrapText="0"/>
    </xf>
    <xf borderId="1" fillId="6" fontId="1" numFmtId="0" xfId="0" applyAlignment="1" applyBorder="1" applyFill="1" applyFont="1">
      <alignment shrinkToFit="0" vertical="bottom" wrapText="0"/>
    </xf>
    <xf borderId="1" fillId="7" fontId="3" numFmtId="0" xfId="0" applyAlignment="1" applyBorder="1" applyFill="1" applyFont="1">
      <alignment shrinkToFit="0" vertical="bottom" wrapText="0"/>
    </xf>
    <xf borderId="1" fillId="8" fontId="3" numFmtId="0" xfId="0" applyAlignment="1" applyBorder="1" applyFill="1" applyFont="1">
      <alignment shrinkToFit="0" vertical="bottom" wrapText="0"/>
    </xf>
    <xf borderId="1" fillId="8" fontId="1" numFmtId="0" xfId="0" applyAlignment="1" applyBorder="1" applyFill="1" applyFont="1">
      <alignment readingOrder="0" shrinkToFit="0" vertical="bottom" wrapText="0"/>
    </xf>
    <xf borderId="1" fillId="8" fontId="1" numFmtId="0" xfId="0" applyAlignment="1" applyBorder="1" applyFill="1" applyFont="1">
      <alignment shrinkToFit="0" vertical="bottom" wrapText="0"/>
    </xf>
    <xf borderId="1" fillId="9" fontId="3" numFmtId="0" xfId="0" applyAlignment="1" applyBorder="1" applyFill="1" applyFont="1">
      <alignment shrinkToFit="0" vertical="bottom" wrapText="0"/>
    </xf>
    <xf borderId="1" fillId="7" fontId="1" numFmtId="0" xfId="0" applyAlignment="1" applyBorder="1" applyFill="1" applyFont="1">
      <alignment shrinkToFit="0" vertical="bottom" wrapText="0"/>
    </xf>
    <xf borderId="0" fillId="0" fontId="3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left" shrinkToFit="0" vertical="top" wrapText="1"/>
    </xf>
    <xf borderId="1" fillId="4" fontId="1" numFmtId="0" xfId="0" applyAlignment="1" applyBorder="1" applyFill="1" applyFont="1">
      <alignment horizontal="right" shrinkToFit="0" vertical="bottom" wrapText="0"/>
    </xf>
    <xf borderId="0" fillId="0" fontId="1" numFmtId="0" xfId="0" applyAlignment="1" applyFont="1">
      <alignment horizontal="left" shrinkToFit="0" vertical="bottom" wrapText="0"/>
    </xf>
    <xf borderId="2" fillId="0" fontId="1" numFmtId="0" xfId="0" applyAlignment="1" applyBorder="1" applyFont="1">
      <alignment horizontal="center" shrinkToFit="0" vertical="center" wrapText="0"/>
    </xf>
    <xf borderId="1" fillId="6" fontId="1" numFmtId="0" xfId="0" applyAlignment="1" applyBorder="1" applyFill="1" applyFont="1">
      <alignment horizontal="right" shrinkToFit="0" vertical="bottom" wrapText="0"/>
    </xf>
    <xf borderId="1" fillId="6" fontId="1" numFmtId="0" xfId="0" applyAlignment="1" applyBorder="1" applyFill="1" applyFont="1">
      <alignment horizontal="right" shrinkToFit="0" vertical="bottom" wrapText="1"/>
    </xf>
    <xf borderId="1" fillId="7" fontId="1" numFmtId="0" xfId="0" applyAlignment="1" applyBorder="1" applyFill="1" applyFont="1">
      <alignment horizontal="right" shrinkToFit="0" vertical="bottom" wrapText="0"/>
    </xf>
    <xf borderId="1" fillId="7" fontId="1" numFmtId="0" xfId="0" applyAlignment="1" applyBorder="1" applyFill="1" applyFont="1">
      <alignment horizontal="right" shrinkToFit="0" vertical="bottom" wrapText="1"/>
    </xf>
    <xf borderId="1" fillId="8" fontId="1" numFmtId="0" xfId="0" applyAlignment="1" applyBorder="1" applyFill="1" applyFont="1">
      <alignment horizontal="right" shrinkToFit="0" vertical="bottom" wrapText="0"/>
    </xf>
    <xf borderId="1" fillId="8" fontId="1" numFmtId="0" xfId="0" applyAlignment="1" applyBorder="1" applyFill="1" applyFont="1">
      <alignment horizontal="righ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685800</xdr:colOff>
      <xdr:row>14</xdr:row>
      <xdr:rowOff>28575</xdr:rowOff>
    </xdr:from>
    <xdr:ext cx="2276475" cy="676275"/>
    <xdr:sp>
      <xdr:nvSpPr>
        <xdr:cNvPr id="3" name="Shape 3"/>
        <xdr:cNvSpPr/>
      </xdr:nvSpPr>
      <xdr:spPr>
        <a:xfrm rot="5400000">
          <a:off x="5022150" y="2660813"/>
          <a:ext cx="647700" cy="2238375"/>
        </a:xfrm>
        <a:custGeom>
          <a:rect b="b" l="l" r="r" t="t"/>
          <a:pathLst>
            <a:path extrusionOk="0" h="9031" w="1642">
              <a:moveTo>
                <a:pt x="0" y="9030"/>
              </a:moveTo>
              <a:cubicBezTo>
                <a:pt x="410" y="9030"/>
                <a:pt x="820" y="8510"/>
                <a:pt x="820" y="7990"/>
              </a:cubicBezTo>
              <a:lnTo>
                <a:pt x="820" y="5735"/>
              </a:lnTo>
              <a:cubicBezTo>
                <a:pt x="820" y="5214"/>
                <a:pt x="1230" y="4694"/>
                <a:pt x="1641" y="4694"/>
              </a:cubicBezTo>
              <a:cubicBezTo>
                <a:pt x="1230" y="4694"/>
                <a:pt x="820" y="4173"/>
                <a:pt x="820" y="3653"/>
              </a:cubicBezTo>
              <a:lnTo>
                <a:pt x="820" y="1041"/>
              </a:lnTo>
              <a:cubicBezTo>
                <a:pt x="820" y="521"/>
                <a:pt x="410" y="0"/>
                <a:pt x="0" y="0"/>
              </a:cubicBezTo>
            </a:path>
          </a:pathLst>
        </a:custGeom>
        <a:noFill/>
        <a:ln cap="flat" cmpd="sng" w="360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7" width="11.75"/>
    <col customWidth="1" min="8" max="26" width="12.75"/>
  </cols>
  <sheetData>
    <row r="1" ht="12.75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75" customHeight="1">
      <c r="A2" s="8"/>
      <c r="B2" s="8"/>
      <c r="C2" s="9" t="s">
        <v>4</v>
      </c>
      <c r="D2" s="9" t="s">
        <v>6</v>
      </c>
      <c r="E2" s="9" t="s">
        <v>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4" t="s">
        <v>9</v>
      </c>
      <c r="B3" s="15"/>
      <c r="C3" s="16">
        <f>LSO!E66</f>
        <v>17</v>
      </c>
      <c r="D3" s="16">
        <f>LVO!E66</f>
        <v>21</v>
      </c>
      <c r="E3" s="16">
        <f>ABB!E66</f>
        <v>21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4" t="s">
        <v>14</v>
      </c>
      <c r="B4" s="15"/>
      <c r="C4" s="16">
        <f>LSO!E67</f>
        <v>3</v>
      </c>
      <c r="D4" s="16">
        <f>LVO!E67</f>
        <v>1</v>
      </c>
      <c r="E4" s="16">
        <f>ABB!E67</f>
        <v>0.5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4" t="s">
        <v>15</v>
      </c>
      <c r="B5" s="15"/>
      <c r="C5" s="16">
        <f>LSO!E68</f>
        <v>0.941</v>
      </c>
      <c r="D5" s="16">
        <f>LVO!E68</f>
        <v>1</v>
      </c>
      <c r="E5" s="16">
        <f>ABB!E68</f>
        <v>0.5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4" t="s">
        <v>16</v>
      </c>
      <c r="B6" s="15"/>
      <c r="C6" s="18">
        <f>LSO!E69</f>
        <v>10</v>
      </c>
      <c r="D6" s="18">
        <f>LVO!E69</f>
        <v>14</v>
      </c>
      <c r="E6" s="18">
        <f>ABB!E69</f>
        <v>14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4" t="s">
        <v>18</v>
      </c>
      <c r="B7" s="15"/>
      <c r="C7" s="18">
        <f>LSO!E70</f>
        <v>6</v>
      </c>
      <c r="D7" s="18">
        <f>LVO!E70</f>
        <v>0.5</v>
      </c>
      <c r="E7" s="18">
        <f>ABB!E70</f>
        <v>1.5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4" t="s">
        <v>19</v>
      </c>
      <c r="B8" s="15"/>
      <c r="C8" s="18">
        <f>LSO!E71</f>
        <v>2.3</v>
      </c>
      <c r="D8" s="18">
        <f>LVO!E71</f>
        <v>0.5</v>
      </c>
      <c r="E8" s="18">
        <f>ABB!E71</f>
        <v>0.714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4" t="s">
        <v>21</v>
      </c>
      <c r="B9" s="15"/>
      <c r="C9" s="19">
        <f>LSO!E72</f>
        <v>12</v>
      </c>
      <c r="D9" s="19">
        <f>LVO!E72</f>
        <v>14</v>
      </c>
      <c r="E9" s="19">
        <f>ABB!E72</f>
        <v>14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4" t="s">
        <v>22</v>
      </c>
      <c r="B10" s="15"/>
      <c r="C10" s="19">
        <f>LSO!E73</f>
        <v>4</v>
      </c>
      <c r="D10" s="19">
        <f>LVO!E73</f>
        <v>14</v>
      </c>
      <c r="E10" s="19">
        <f>ABB!E73</f>
        <v>5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4" t="s">
        <v>23</v>
      </c>
      <c r="B11" s="15"/>
      <c r="C11" s="19">
        <f>LSO!E74</f>
        <v>3.167</v>
      </c>
      <c r="D11" s="19">
        <f>LVO!E74</f>
        <v>5.357</v>
      </c>
      <c r="E11" s="19">
        <f>ABB!E74</f>
        <v>2.929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4" t="s">
        <v>24</v>
      </c>
      <c r="B12" s="15"/>
      <c r="C12" s="22">
        <f>LSO!E75</f>
        <v>11</v>
      </c>
      <c r="D12" s="22">
        <f>LVO!E75</f>
        <v>8</v>
      </c>
      <c r="E12" s="22">
        <f>ABB!E75</f>
        <v>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4" t="s">
        <v>26</v>
      </c>
      <c r="B13" s="15"/>
      <c r="C13" s="22">
        <f>LSO!E76</f>
        <v>4</v>
      </c>
      <c r="D13" s="22">
        <f>LVO!E76</f>
        <v>8</v>
      </c>
      <c r="E13" s="22">
        <f>ABB!E76</f>
        <v>3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4" t="s">
        <v>27</v>
      </c>
      <c r="B14" s="15"/>
      <c r="C14" s="22">
        <f>LSO!E77</f>
        <v>2.182</v>
      </c>
      <c r="D14" s="22">
        <f>LVO!E77</f>
        <v>3.375</v>
      </c>
      <c r="E14" s="22">
        <f>ABB!E77</f>
        <v>2.111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2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2.75" customHeight="1">
      <c r="A16" s="3"/>
      <c r="B16" s="3"/>
      <c r="C16" s="24" t="s">
        <v>28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2.75" customHeight="1">
      <c r="A17" s="3"/>
      <c r="B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2.75" customHeight="1">
      <c r="A18" s="3"/>
      <c r="B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2.75" customHeight="1">
      <c r="A19" s="3"/>
      <c r="B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4.75" customHeight="1">
      <c r="A20" s="3"/>
      <c r="B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2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2.75" customHeight="1">
      <c r="A22" s="3"/>
      <c r="B22" s="25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43.5" customHeight="1">
      <c r="A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4">
    <mergeCell ref="A10:B10"/>
    <mergeCell ref="A11:B11"/>
    <mergeCell ref="A12:B12"/>
    <mergeCell ref="A13:B13"/>
    <mergeCell ref="A14:B14"/>
    <mergeCell ref="C16:E20"/>
    <mergeCell ref="B22:G23"/>
    <mergeCell ref="A3:B3"/>
    <mergeCell ref="A4:B4"/>
    <mergeCell ref="A5:B5"/>
    <mergeCell ref="A6:B6"/>
    <mergeCell ref="A7:B7"/>
    <mergeCell ref="A8:B8"/>
    <mergeCell ref="A9:B9"/>
  </mergeCells>
  <printOptions/>
  <pageMargins bottom="1.05277777777778" footer="0.0" header="0.0" left="0.7875" right="0.7875" top="1.05277777777778"/>
  <pageSetup paperSize="9" orientation="portrait"/>
  <headerFooter>
    <oddHeader>&amp;Cffffff&amp;A</oddHeader>
    <oddFooter>&amp;CffffffPágina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.0"/>
    <col customWidth="1" min="2" max="2" width="11.63"/>
    <col customWidth="1" min="3" max="3" width="12.38"/>
    <col customWidth="1" min="4" max="4" width="11.63"/>
    <col customWidth="1" min="5" max="5" width="12.5"/>
    <col customWidth="1" min="6" max="6" width="3.63"/>
    <col customWidth="1" min="7" max="7" width="11.63"/>
    <col customWidth="1" min="8" max="8" width="5.5"/>
    <col customWidth="1" min="9" max="9" width="4.88"/>
    <col customWidth="1" min="10" max="10" width="10.25"/>
    <col customWidth="1" min="11" max="11" width="6.13"/>
    <col customWidth="1" min="12" max="24" width="14.63"/>
    <col customWidth="1" min="25" max="26" width="12.75"/>
  </cols>
  <sheetData>
    <row r="1" ht="17.25" customHeight="1">
      <c r="A1" s="1"/>
      <c r="B1" s="2" t="s">
        <v>0</v>
      </c>
      <c r="C1" s="4" t="s">
        <v>1</v>
      </c>
      <c r="D1" s="2" t="s">
        <v>2</v>
      </c>
      <c r="E1" s="2" t="s">
        <v>3</v>
      </c>
      <c r="F1" s="5"/>
      <c r="G1" s="3"/>
      <c r="H1" s="3"/>
      <c r="I1" s="6"/>
      <c r="J1" s="7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2.75" customHeight="1">
      <c r="A2" s="1">
        <v>1.0</v>
      </c>
      <c r="B2" s="10" t="s">
        <v>5</v>
      </c>
      <c r="C2" s="11">
        <v>1.00001E7</v>
      </c>
      <c r="D2" s="12" t="s">
        <v>8</v>
      </c>
      <c r="E2" s="13">
        <v>0.0</v>
      </c>
      <c r="F2" s="3"/>
      <c r="G2" s="3"/>
      <c r="H2" s="3" t="s">
        <v>10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2.75" customHeight="1">
      <c r="A3" s="1">
        <f t="shared" ref="A3:A64" si="1">A2+1</f>
        <v>2</v>
      </c>
      <c r="B3" s="10" t="s">
        <v>12</v>
      </c>
      <c r="C3" s="11">
        <v>1.00002E7</v>
      </c>
      <c r="D3" s="10" t="s">
        <v>13</v>
      </c>
      <c r="E3" s="17">
        <v>0.0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12.75" customHeight="1">
      <c r="A4" s="1">
        <f t="shared" si="1"/>
        <v>3</v>
      </c>
      <c r="B4" s="10" t="s">
        <v>12</v>
      </c>
      <c r="C4" s="11">
        <v>1.000015E7</v>
      </c>
      <c r="D4" s="10" t="s">
        <v>13</v>
      </c>
      <c r="E4" s="17">
        <v>1.0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2.75" customHeight="1">
      <c r="A5" s="1">
        <f t="shared" si="1"/>
        <v>4</v>
      </c>
      <c r="B5" s="10" t="s">
        <v>12</v>
      </c>
      <c r="C5" s="11">
        <v>1.000013E7</v>
      </c>
      <c r="D5" s="10" t="s">
        <v>13</v>
      </c>
      <c r="E5" s="17">
        <v>2.0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12.75" customHeight="1">
      <c r="A6" s="1">
        <f t="shared" si="1"/>
        <v>5</v>
      </c>
      <c r="B6" s="10" t="s">
        <v>12</v>
      </c>
      <c r="C6" s="11">
        <v>1.000011E7</v>
      </c>
      <c r="D6" s="10" t="s">
        <v>13</v>
      </c>
      <c r="E6" s="17">
        <v>3.0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12.75" customHeight="1">
      <c r="A7" s="1">
        <f t="shared" si="1"/>
        <v>6</v>
      </c>
      <c r="B7" s="10" t="s">
        <v>12</v>
      </c>
      <c r="C7" s="11">
        <v>1.000018E7</v>
      </c>
      <c r="D7" s="10" t="s">
        <v>13</v>
      </c>
      <c r="E7" s="17">
        <v>1.0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12.75" customHeight="1">
      <c r="A8" s="1">
        <f t="shared" si="1"/>
        <v>7</v>
      </c>
      <c r="B8" s="10" t="s">
        <v>12</v>
      </c>
      <c r="C8" s="11">
        <v>1.000016E7</v>
      </c>
      <c r="D8" s="10" t="s">
        <v>13</v>
      </c>
      <c r="E8" s="17">
        <v>2.0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12.75" customHeight="1">
      <c r="A9" s="1">
        <f t="shared" si="1"/>
        <v>8</v>
      </c>
      <c r="B9" s="10" t="s">
        <v>12</v>
      </c>
      <c r="C9" s="11">
        <v>1.000017E7</v>
      </c>
      <c r="D9" s="10" t="s">
        <v>13</v>
      </c>
      <c r="E9" s="17">
        <v>2.0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2.75" customHeight="1">
      <c r="A10" s="1">
        <f t="shared" si="1"/>
        <v>9</v>
      </c>
      <c r="B10" s="10" t="s">
        <v>12</v>
      </c>
      <c r="C10" s="11">
        <v>1.00002E7</v>
      </c>
      <c r="D10" s="12" t="s">
        <v>8</v>
      </c>
      <c r="E10" s="17"/>
      <c r="F10" s="3"/>
      <c r="G10" s="3"/>
      <c r="H10" s="3" t="s">
        <v>17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12.75" customHeight="1">
      <c r="A11" s="1">
        <f t="shared" si="1"/>
        <v>10</v>
      </c>
      <c r="B11" s="10" t="s">
        <v>12</v>
      </c>
      <c r="C11" s="11">
        <v>1.000011E7</v>
      </c>
      <c r="D11" s="12" t="s">
        <v>8</v>
      </c>
      <c r="E11" s="17"/>
      <c r="F11" s="3"/>
      <c r="G11" s="3"/>
      <c r="H11" s="3" t="s">
        <v>17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12.75" customHeight="1">
      <c r="A12" s="1">
        <f t="shared" si="1"/>
        <v>11</v>
      </c>
      <c r="B12" s="10" t="s">
        <v>12</v>
      </c>
      <c r="C12" s="11">
        <v>1.000015E7</v>
      </c>
      <c r="D12" s="12" t="s">
        <v>8</v>
      </c>
      <c r="E12" s="17"/>
      <c r="F12" s="3"/>
      <c r="G12" s="3"/>
      <c r="H12" s="3" t="s">
        <v>17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12.75" customHeight="1">
      <c r="A13" s="1">
        <f t="shared" si="1"/>
        <v>12</v>
      </c>
      <c r="B13" s="10" t="s">
        <v>12</v>
      </c>
      <c r="C13" s="11">
        <v>1.000021E7</v>
      </c>
      <c r="D13" s="10" t="s">
        <v>13</v>
      </c>
      <c r="E13" s="17">
        <v>0.0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12.75" customHeight="1">
      <c r="A14" s="1">
        <f t="shared" si="1"/>
        <v>13</v>
      </c>
      <c r="B14" s="10" t="s">
        <v>12</v>
      </c>
      <c r="C14" s="11">
        <v>1.000023E7</v>
      </c>
      <c r="D14" s="10" t="s">
        <v>13</v>
      </c>
      <c r="E14" s="17">
        <v>0.0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12.75" customHeight="1">
      <c r="A15" s="1">
        <f t="shared" si="1"/>
        <v>14</v>
      </c>
      <c r="B15" s="10" t="s">
        <v>12</v>
      </c>
      <c r="C15" s="11">
        <v>1.000022E7</v>
      </c>
      <c r="D15" s="10" t="s">
        <v>13</v>
      </c>
      <c r="E15" s="17">
        <v>1.0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12.75" customHeight="1">
      <c r="A16" s="1">
        <f t="shared" si="1"/>
        <v>15</v>
      </c>
      <c r="B16" s="10" t="s">
        <v>12</v>
      </c>
      <c r="C16" s="11">
        <v>1.000027E7</v>
      </c>
      <c r="D16" s="12" t="s">
        <v>8</v>
      </c>
      <c r="E16" s="17"/>
      <c r="F16" s="3"/>
      <c r="G16" s="3"/>
      <c r="H16" s="3" t="s">
        <v>20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12.75" customHeight="1">
      <c r="A17" s="1">
        <f t="shared" si="1"/>
        <v>16</v>
      </c>
      <c r="B17" s="10" t="s">
        <v>12</v>
      </c>
      <c r="C17" s="11">
        <v>1.000029E7</v>
      </c>
      <c r="D17" s="12" t="s">
        <v>8</v>
      </c>
      <c r="E17" s="17"/>
      <c r="F17" s="3"/>
      <c r="G17" s="3"/>
      <c r="H17" s="3" t="s">
        <v>20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12.75" customHeight="1">
      <c r="A18" s="1">
        <f t="shared" si="1"/>
        <v>17</v>
      </c>
      <c r="B18" s="10" t="s">
        <v>12</v>
      </c>
      <c r="C18" s="11">
        <v>1.000025E7</v>
      </c>
      <c r="D18" s="12" t="s">
        <v>8</v>
      </c>
      <c r="E18" s="17"/>
      <c r="F18" s="3"/>
      <c r="G18" s="3"/>
      <c r="H18" s="3" t="s">
        <v>20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12.75" customHeight="1">
      <c r="A19" s="1">
        <f t="shared" si="1"/>
        <v>18</v>
      </c>
      <c r="B19" s="10" t="s">
        <v>12</v>
      </c>
      <c r="C19" s="11">
        <v>1.000026E7</v>
      </c>
      <c r="D19" s="12" t="s">
        <v>8</v>
      </c>
      <c r="E19" s="17"/>
      <c r="F19" s="3"/>
      <c r="G19" s="3"/>
      <c r="H19" s="3" t="s">
        <v>20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12.75" customHeight="1">
      <c r="A20" s="1">
        <f t="shared" si="1"/>
        <v>19</v>
      </c>
      <c r="B20" s="10" t="s">
        <v>5</v>
      </c>
      <c r="C20" s="11">
        <v>1.000023E7</v>
      </c>
      <c r="D20" s="10" t="s">
        <v>13</v>
      </c>
      <c r="E20" s="20">
        <v>4.0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2.75" customHeight="1">
      <c r="A21" s="1">
        <f t="shared" si="1"/>
        <v>20</v>
      </c>
      <c r="B21" s="10" t="s">
        <v>5</v>
      </c>
      <c r="C21" s="11">
        <v>1.00002E7</v>
      </c>
      <c r="D21" s="10" t="s">
        <v>13</v>
      </c>
      <c r="E21" s="21">
        <v>4.0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2.75" customHeight="1">
      <c r="A22" s="1">
        <f t="shared" si="1"/>
        <v>21</v>
      </c>
      <c r="B22" s="10" t="s">
        <v>5</v>
      </c>
      <c r="C22" s="11">
        <v>1.000011E7</v>
      </c>
      <c r="D22" s="10" t="s">
        <v>13</v>
      </c>
      <c r="E22" s="21">
        <v>4.0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2.75" customHeight="1">
      <c r="A23" s="1">
        <f t="shared" si="1"/>
        <v>22</v>
      </c>
      <c r="B23" s="10" t="s">
        <v>5</v>
      </c>
      <c r="C23" s="11">
        <v>1.000017E7</v>
      </c>
      <c r="D23" s="10" t="s">
        <v>13</v>
      </c>
      <c r="E23" s="21">
        <v>3.0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2.75" customHeight="1">
      <c r="A24" s="1">
        <f t="shared" si="1"/>
        <v>23</v>
      </c>
      <c r="B24" s="10" t="s">
        <v>5</v>
      </c>
      <c r="C24" s="11">
        <v>1.000016E7</v>
      </c>
      <c r="D24" s="10" t="s">
        <v>13</v>
      </c>
      <c r="E24" s="21">
        <v>3.0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2.75" customHeight="1">
      <c r="A25" s="1">
        <f t="shared" si="1"/>
        <v>24</v>
      </c>
      <c r="B25" s="10" t="s">
        <v>5</v>
      </c>
      <c r="C25" s="11">
        <v>1.000029E7</v>
      </c>
      <c r="D25" s="12" t="s">
        <v>8</v>
      </c>
      <c r="E25" s="13">
        <v>4.0</v>
      </c>
      <c r="F25" s="3"/>
      <c r="G25" s="3"/>
      <c r="H25" s="3" t="s">
        <v>20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2.75" customHeight="1">
      <c r="A26" s="1">
        <f t="shared" si="1"/>
        <v>25</v>
      </c>
      <c r="B26" s="10" t="s">
        <v>25</v>
      </c>
      <c r="C26" s="11">
        <v>1.00002E7</v>
      </c>
      <c r="D26" s="10" t="s">
        <v>13</v>
      </c>
      <c r="E26" s="23">
        <v>3.0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2.75" customHeight="1">
      <c r="A27" s="1">
        <f t="shared" si="1"/>
        <v>26</v>
      </c>
      <c r="B27" s="10" t="s">
        <v>5</v>
      </c>
      <c r="C27" s="11">
        <v>1.00002E7</v>
      </c>
      <c r="D27" s="12" t="s">
        <v>8</v>
      </c>
      <c r="E27" s="13">
        <v>3.0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2.75" customHeight="1">
      <c r="A28" s="1">
        <f t="shared" si="1"/>
        <v>27</v>
      </c>
      <c r="B28" s="10" t="s">
        <v>5</v>
      </c>
      <c r="C28" s="11">
        <v>1.000022E7</v>
      </c>
      <c r="D28" s="10" t="s">
        <v>13</v>
      </c>
      <c r="E28" s="21">
        <v>3.0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2.75" customHeight="1">
      <c r="A29" s="1">
        <f t="shared" si="1"/>
        <v>28</v>
      </c>
      <c r="B29" s="10" t="s">
        <v>5</v>
      </c>
      <c r="C29" s="11">
        <v>1.000018E7</v>
      </c>
      <c r="D29" s="10" t="s">
        <v>13</v>
      </c>
      <c r="E29" s="21">
        <v>3.0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2.75" customHeight="1">
      <c r="A30" s="1">
        <f t="shared" si="1"/>
        <v>29</v>
      </c>
      <c r="B30" s="10" t="s">
        <v>25</v>
      </c>
      <c r="C30" s="11">
        <v>1.000023E7</v>
      </c>
      <c r="D30" s="10" t="s">
        <v>13</v>
      </c>
      <c r="E30" s="23">
        <v>0.0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2.75" customHeight="1">
      <c r="A31" s="1">
        <f t="shared" si="1"/>
        <v>30</v>
      </c>
      <c r="B31" s="10" t="s">
        <v>25</v>
      </c>
      <c r="C31" s="11">
        <v>1.000013E7</v>
      </c>
      <c r="D31" s="10" t="s">
        <v>13</v>
      </c>
      <c r="E31" s="23">
        <v>6.0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2.75" customHeight="1">
      <c r="A32" s="1">
        <f t="shared" si="1"/>
        <v>31</v>
      </c>
      <c r="B32" s="10" t="s">
        <v>25</v>
      </c>
      <c r="C32" s="11">
        <v>1.000018E7</v>
      </c>
      <c r="D32" s="10" t="s">
        <v>13</v>
      </c>
      <c r="E32" s="23">
        <v>2.0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2.75" customHeight="1">
      <c r="A33" s="1">
        <f t="shared" si="1"/>
        <v>32</v>
      </c>
      <c r="B33" s="10" t="s">
        <v>5</v>
      </c>
      <c r="C33" s="11">
        <v>1.000011E7</v>
      </c>
      <c r="D33" s="10" t="s">
        <v>13</v>
      </c>
      <c r="E33" s="21">
        <v>3.0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2.75" customHeight="1">
      <c r="A34" s="1">
        <f t="shared" si="1"/>
        <v>33</v>
      </c>
      <c r="B34" s="10" t="s">
        <v>25</v>
      </c>
      <c r="C34" s="11">
        <v>1.000011E7</v>
      </c>
      <c r="D34" s="10" t="s">
        <v>13</v>
      </c>
      <c r="E34" s="23">
        <v>5.0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2.75" customHeight="1">
      <c r="A35" s="1">
        <f t="shared" si="1"/>
        <v>34</v>
      </c>
      <c r="B35" s="10" t="s">
        <v>5</v>
      </c>
      <c r="C35" s="11">
        <v>1.000011E7</v>
      </c>
      <c r="D35" s="12" t="s">
        <v>8</v>
      </c>
      <c r="E35" s="13">
        <v>3.0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12.75" customHeight="1">
      <c r="A36" s="1">
        <f t="shared" si="1"/>
        <v>35</v>
      </c>
      <c r="B36" s="10" t="s">
        <v>25</v>
      </c>
      <c r="C36" s="11">
        <v>1.000016E7</v>
      </c>
      <c r="D36" s="10" t="s">
        <v>13</v>
      </c>
      <c r="E36" s="23">
        <v>3.0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12.75" customHeight="1">
      <c r="A37" s="1">
        <f t="shared" si="1"/>
        <v>36</v>
      </c>
      <c r="B37" s="10" t="s">
        <v>25</v>
      </c>
      <c r="C37" s="11">
        <v>1.000021E7</v>
      </c>
      <c r="D37" s="10" t="s">
        <v>13</v>
      </c>
      <c r="E37" s="23">
        <v>1.0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12.75" customHeight="1">
      <c r="A38" s="1">
        <f t="shared" si="1"/>
        <v>37</v>
      </c>
      <c r="B38" s="10" t="s">
        <v>5</v>
      </c>
      <c r="C38" s="11">
        <v>1.000021E7</v>
      </c>
      <c r="D38" s="12" t="s">
        <v>8</v>
      </c>
      <c r="E38" s="13">
        <v>2.0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12.75" customHeight="1">
      <c r="A39" s="1">
        <f t="shared" si="1"/>
        <v>38</v>
      </c>
      <c r="B39" s="10" t="s">
        <v>5</v>
      </c>
      <c r="C39" s="11">
        <v>1.000022E7</v>
      </c>
      <c r="D39" s="10" t="s">
        <v>13</v>
      </c>
      <c r="E39" s="21">
        <v>2.0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12.75" customHeight="1">
      <c r="A40" s="1">
        <f t="shared" si="1"/>
        <v>39</v>
      </c>
      <c r="B40" s="10" t="s">
        <v>25</v>
      </c>
      <c r="C40" s="11">
        <v>1.000015E7</v>
      </c>
      <c r="D40" s="10" t="s">
        <v>13</v>
      </c>
      <c r="E40" s="23">
        <v>2.0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12.75" customHeight="1">
      <c r="A41" s="1">
        <f t="shared" si="1"/>
        <v>40</v>
      </c>
      <c r="B41" s="10" t="s">
        <v>25</v>
      </c>
      <c r="C41" s="11">
        <v>1.000017E7</v>
      </c>
      <c r="D41" s="10" t="s">
        <v>13</v>
      </c>
      <c r="E41" s="23">
        <v>1.0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2.75" customHeight="1">
      <c r="A42" s="1">
        <f t="shared" si="1"/>
        <v>41</v>
      </c>
      <c r="B42" s="10" t="s">
        <v>25</v>
      </c>
      <c r="C42" s="11">
        <v>1.000022E7</v>
      </c>
      <c r="D42" s="10" t="s">
        <v>13</v>
      </c>
      <c r="E42" s="23">
        <v>0.0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12.75" customHeight="1">
      <c r="A43" s="1">
        <f t="shared" si="1"/>
        <v>42</v>
      </c>
      <c r="B43" s="10" t="s">
        <v>5</v>
      </c>
      <c r="C43" s="11">
        <v>1.000029E7</v>
      </c>
      <c r="D43" s="12" t="s">
        <v>8</v>
      </c>
      <c r="E43" s="13">
        <v>0.0</v>
      </c>
      <c r="F43" s="3"/>
      <c r="G43" s="3" t="s">
        <v>29</v>
      </c>
      <c r="H43" s="3" t="s">
        <v>10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2.75" customHeight="1">
      <c r="A44" s="1">
        <f t="shared" si="1"/>
        <v>43</v>
      </c>
      <c r="B44" s="10" t="s">
        <v>25</v>
      </c>
      <c r="C44" s="11">
        <v>1.000029E7</v>
      </c>
      <c r="D44" s="12" t="s">
        <v>8</v>
      </c>
      <c r="E44" s="23"/>
      <c r="F44" s="3"/>
      <c r="G44" s="3" t="s">
        <v>29</v>
      </c>
      <c r="H44" s="3" t="s">
        <v>20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12.75" customHeight="1">
      <c r="A45" s="1">
        <f t="shared" si="1"/>
        <v>44</v>
      </c>
      <c r="B45" s="10" t="s">
        <v>25</v>
      </c>
      <c r="C45" s="11">
        <v>1.000027E7</v>
      </c>
      <c r="D45" s="12" t="s">
        <v>8</v>
      </c>
      <c r="E45" s="23"/>
      <c r="F45" s="3"/>
      <c r="G45" s="3" t="s">
        <v>29</v>
      </c>
      <c r="H45" s="3" t="s">
        <v>20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12.75" customHeight="1">
      <c r="A46" s="1">
        <f t="shared" si="1"/>
        <v>45</v>
      </c>
      <c r="B46" s="10" t="s">
        <v>25</v>
      </c>
      <c r="C46" s="11">
        <v>1.000025E7</v>
      </c>
      <c r="D46" s="12" t="s">
        <v>8</v>
      </c>
      <c r="E46" s="23"/>
      <c r="F46" s="3"/>
      <c r="G46" s="3" t="s">
        <v>29</v>
      </c>
      <c r="H46" s="3" t="s">
        <v>20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12.75" customHeight="1">
      <c r="A47" s="1">
        <f t="shared" si="1"/>
        <v>46</v>
      </c>
      <c r="B47" s="10" t="s">
        <v>25</v>
      </c>
      <c r="C47" s="11">
        <v>1.000026E7</v>
      </c>
      <c r="D47" s="12" t="s">
        <v>8</v>
      </c>
      <c r="E47" s="23"/>
      <c r="F47" s="3"/>
      <c r="G47" s="3" t="s">
        <v>29</v>
      </c>
      <c r="H47" s="3" t="s">
        <v>20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12.75" customHeight="1">
      <c r="A48" s="1">
        <f t="shared" si="1"/>
        <v>47</v>
      </c>
      <c r="B48" s="10" t="s">
        <v>5</v>
      </c>
      <c r="C48" s="11">
        <v>1.000026E7</v>
      </c>
      <c r="D48" s="12" t="s">
        <v>8</v>
      </c>
      <c r="E48" s="13">
        <v>0.0</v>
      </c>
      <c r="F48" s="3"/>
      <c r="G48" s="3" t="s">
        <v>29</v>
      </c>
      <c r="H48" s="3" t="s">
        <v>10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12.75" customHeight="1">
      <c r="A49" s="1">
        <f t="shared" si="1"/>
        <v>48</v>
      </c>
      <c r="B49" s="10" t="s">
        <v>12</v>
      </c>
      <c r="C49" s="11">
        <v>1.000015E7</v>
      </c>
      <c r="D49" s="10" t="s">
        <v>13</v>
      </c>
      <c r="E49" s="17">
        <v>0.0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12.75" customHeight="1">
      <c r="A50" s="1">
        <f t="shared" si="1"/>
        <v>49</v>
      </c>
      <c r="B50" s="10" t="s">
        <v>12</v>
      </c>
      <c r="C50" s="11">
        <v>1.00001E7</v>
      </c>
      <c r="D50" s="10" t="s">
        <v>13</v>
      </c>
      <c r="E50" s="17">
        <v>1.0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12.75" customHeight="1">
      <c r="A51" s="1">
        <f t="shared" si="1"/>
        <v>50</v>
      </c>
      <c r="B51" s="10" t="s">
        <v>12</v>
      </c>
      <c r="C51" s="11">
        <v>1.000012E7</v>
      </c>
      <c r="D51" s="10" t="s">
        <v>13</v>
      </c>
      <c r="E51" s="17">
        <v>1.0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12.75" customHeight="1">
      <c r="A52" s="1">
        <f t="shared" si="1"/>
        <v>51</v>
      </c>
      <c r="B52" s="10" t="s">
        <v>12</v>
      </c>
      <c r="C52" s="11">
        <v>1.000014E7</v>
      </c>
      <c r="D52" s="10" t="s">
        <v>13</v>
      </c>
      <c r="E52" s="17">
        <v>1.0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12.75" customHeight="1">
      <c r="A53" s="1">
        <f t="shared" si="1"/>
        <v>52</v>
      </c>
      <c r="B53" s="10" t="s">
        <v>12</v>
      </c>
      <c r="C53" s="11">
        <v>1.000024E7</v>
      </c>
      <c r="D53" s="10" t="s">
        <v>13</v>
      </c>
      <c r="E53" s="17">
        <v>0.0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12.75" customHeight="1">
      <c r="A54" s="1">
        <f t="shared" si="1"/>
        <v>53</v>
      </c>
      <c r="B54" s="10" t="s">
        <v>12</v>
      </c>
      <c r="C54" s="11">
        <v>1.000019E7</v>
      </c>
      <c r="D54" s="10" t="s">
        <v>13</v>
      </c>
      <c r="E54" s="17">
        <v>1.0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12.75" customHeight="1">
      <c r="A55" s="1">
        <f t="shared" si="1"/>
        <v>54</v>
      </c>
      <c r="B55" s="10" t="s">
        <v>12</v>
      </c>
      <c r="C55" s="11">
        <v>1.000028E7</v>
      </c>
      <c r="D55" s="10" t="s">
        <v>13</v>
      </c>
      <c r="E55" s="17">
        <v>0.0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12.75" customHeight="1">
      <c r="A56" s="1">
        <f t="shared" si="1"/>
        <v>55</v>
      </c>
      <c r="B56" s="10" t="s">
        <v>25</v>
      </c>
      <c r="C56" s="11">
        <v>1.000029E7</v>
      </c>
      <c r="D56" s="12" t="s">
        <v>8</v>
      </c>
      <c r="E56" s="23"/>
      <c r="F56" s="3"/>
      <c r="G56" s="3"/>
      <c r="H56" s="3" t="s">
        <v>30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12.75" customHeight="1">
      <c r="A57" s="1">
        <f t="shared" si="1"/>
        <v>56</v>
      </c>
      <c r="B57" s="10" t="s">
        <v>25</v>
      </c>
      <c r="C57" s="11">
        <v>1.000015E7</v>
      </c>
      <c r="D57" s="12" t="s">
        <v>8</v>
      </c>
      <c r="E57" s="23"/>
      <c r="F57" s="3"/>
      <c r="G57" s="3"/>
      <c r="H57" s="3" t="s">
        <v>31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12.75" customHeight="1">
      <c r="A58" s="1">
        <f t="shared" si="1"/>
        <v>57</v>
      </c>
      <c r="B58" s="10" t="s">
        <v>5</v>
      </c>
      <c r="C58" s="11">
        <v>1.000029E7</v>
      </c>
      <c r="D58" s="12" t="s">
        <v>8</v>
      </c>
      <c r="E58" s="13">
        <v>3.0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12.75" customHeight="1">
      <c r="A59" s="1">
        <f t="shared" si="1"/>
        <v>58</v>
      </c>
      <c r="B59" s="10" t="s">
        <v>5</v>
      </c>
      <c r="C59" s="11">
        <v>1.00001E7</v>
      </c>
      <c r="D59" s="10" t="s">
        <v>13</v>
      </c>
      <c r="E59" s="21">
        <v>3.0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12.75" customHeight="1">
      <c r="A60" s="1">
        <f t="shared" si="1"/>
        <v>59</v>
      </c>
      <c r="B60" s="10" t="s">
        <v>5</v>
      </c>
      <c r="C60" s="11">
        <v>1.000009E7</v>
      </c>
      <c r="D60" s="12" t="s">
        <v>8</v>
      </c>
      <c r="E60" s="13">
        <v>3.0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12.75" customHeight="1">
      <c r="A61" s="1">
        <f t="shared" si="1"/>
        <v>60</v>
      </c>
      <c r="B61" s="10" t="s">
        <v>5</v>
      </c>
      <c r="C61" s="11">
        <v>1.000015E7</v>
      </c>
      <c r="D61" s="10" t="s">
        <v>13</v>
      </c>
      <c r="E61" s="21">
        <v>3.0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12.75" customHeight="1">
      <c r="A62" s="1">
        <f t="shared" si="1"/>
        <v>61</v>
      </c>
      <c r="B62" s="10" t="s">
        <v>5</v>
      </c>
      <c r="C62" s="11">
        <v>1.0000155E7</v>
      </c>
      <c r="D62" s="12" t="s">
        <v>8</v>
      </c>
      <c r="E62" s="13">
        <v>3.0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12.75" customHeight="1">
      <c r="A63" s="1">
        <f t="shared" si="1"/>
        <v>62</v>
      </c>
      <c r="B63" s="10" t="s">
        <v>5</v>
      </c>
      <c r="C63" s="11">
        <v>1.000028E7</v>
      </c>
      <c r="D63" s="10" t="s">
        <v>13</v>
      </c>
      <c r="E63" s="21">
        <v>3.0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12.75" customHeight="1">
      <c r="A64" s="1">
        <f t="shared" si="1"/>
        <v>63</v>
      </c>
      <c r="B64" s="10" t="s">
        <v>5</v>
      </c>
      <c r="C64" s="11">
        <v>9.99999999E8</v>
      </c>
      <c r="D64" s="12" t="s">
        <v>8</v>
      </c>
      <c r="E64" s="26">
        <v>3.0</v>
      </c>
      <c r="F64" s="3"/>
      <c r="G64" s="3"/>
      <c r="H64" s="3" t="s">
        <v>32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12.75" customHeight="1">
      <c r="A65" s="3"/>
      <c r="B65" s="5"/>
      <c r="C65" s="27"/>
      <c r="D65" s="5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12.75" customHeight="1">
      <c r="A66" s="3"/>
      <c r="B66" s="5"/>
      <c r="C66" s="28" t="s">
        <v>9</v>
      </c>
      <c r="D66" s="15"/>
      <c r="E66" s="29">
        <f>COUNTIFS(B2:B64,"Alta",D2:D64,"SI")</f>
        <v>17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12.75" customHeight="1">
      <c r="A67" s="3"/>
      <c r="B67" s="5"/>
      <c r="C67" s="28" t="s">
        <v>14</v>
      </c>
      <c r="D67" s="15"/>
      <c r="E67" s="30">
        <f>MAXIFS(E2:E64, B2:B64,"Alta",D2:D64,"SI")</f>
        <v>3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12.75" customHeight="1">
      <c r="A68" s="3"/>
      <c r="B68" s="5"/>
      <c r="C68" s="28" t="s">
        <v>15</v>
      </c>
      <c r="D68" s="15"/>
      <c r="E68" s="29">
        <f>ROUND(SUMIFS(E2:E64,B2:B64,"Alta",D2:D64,"SI")/E66,3)</f>
        <v>0.941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12.75" customHeight="1">
      <c r="A69" s="3"/>
      <c r="B69" s="5"/>
      <c r="C69" s="28" t="s">
        <v>16</v>
      </c>
      <c r="D69" s="15"/>
      <c r="E69" s="31">
        <f>COUNTIFS(B2:B64,"Baja",D2:D64,"SI")</f>
        <v>10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12.75" customHeight="1">
      <c r="A70" s="3"/>
      <c r="B70" s="5"/>
      <c r="C70" s="28" t="s">
        <v>18</v>
      </c>
      <c r="D70" s="15"/>
      <c r="E70" s="32">
        <f>MAXIFS(E2:E64, B2:B64,"Baja",D2:D64,"SI")</f>
        <v>6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12.75" customHeight="1">
      <c r="A71" s="3"/>
      <c r="B71" s="5"/>
      <c r="C71" s="28" t="s">
        <v>19</v>
      </c>
      <c r="D71" s="15"/>
      <c r="E71" s="31">
        <f>ROUND(SUMIFS(E2:E64,B2:B64,"Baja",D2:D64,"SI")/E69,3)</f>
        <v>2.3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12.75" customHeight="1">
      <c r="A72" s="3"/>
      <c r="B72" s="5"/>
      <c r="C72" s="28" t="s">
        <v>21</v>
      </c>
      <c r="D72" s="15"/>
      <c r="E72" s="33">
        <f>COUNTIFS(B2:B64,"Evoc",D2:D64,"SI")</f>
        <v>12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12.75" customHeight="1">
      <c r="A73" s="3"/>
      <c r="B73" s="5"/>
      <c r="C73" s="28" t="s">
        <v>22</v>
      </c>
      <c r="D73" s="15"/>
      <c r="E73" s="34">
        <f>MAXIFS(E2:E64, B2:B64,"Evoc",D2:D64,"SI")</f>
        <v>4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12.75" customHeight="1">
      <c r="A74" s="3"/>
      <c r="B74" s="5"/>
      <c r="C74" s="28" t="s">
        <v>23</v>
      </c>
      <c r="D74" s="15"/>
      <c r="E74" s="33">
        <f>ROUND(SUMIFS(E2:E64,B2:B64,"Evoc",D2:D64,"SI")/E72,3)</f>
        <v>3.167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12.75" customHeight="1">
      <c r="A75" s="3"/>
      <c r="B75" s="5"/>
      <c r="C75" s="28" t="s">
        <v>24</v>
      </c>
      <c r="D75" s="15"/>
      <c r="E75" s="13">
        <f>COUNTIFS(B2:B64,"Evoc",D2:D64,"NO")</f>
        <v>11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t="12.75" customHeight="1">
      <c r="A76" s="3"/>
      <c r="B76" s="5"/>
      <c r="C76" s="28" t="s">
        <v>26</v>
      </c>
      <c r="D76" s="15"/>
      <c r="E76" s="13">
        <f>MAXIFS(E2:E64, B2:B64,"Evoc",D2:D64,"NO")</f>
        <v>4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12.75" customHeight="1">
      <c r="A77" s="3"/>
      <c r="B77" s="5"/>
      <c r="C77" s="28" t="s">
        <v>27</v>
      </c>
      <c r="D77" s="15"/>
      <c r="E77" s="13">
        <f>ROUND(SUMIFS(E2:E64,B2:B64,"Evoc",D2:D64,"NO")/E75,3)</f>
        <v>2.182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12.75" customHeight="1">
      <c r="A78" s="3"/>
      <c r="B78" s="3"/>
      <c r="C78" s="27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t="12.75" customHeight="1">
      <c r="A79" s="3"/>
      <c r="B79" s="3"/>
      <c r="C79" s="27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t="12.75" customHeight="1">
      <c r="A80" s="3"/>
      <c r="B80" s="3"/>
      <c r="C80" s="27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12.75" customHeight="1">
      <c r="A81" s="3"/>
      <c r="B81" s="3"/>
      <c r="C81" s="27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t="12.75" customHeight="1">
      <c r="A82" s="3"/>
      <c r="B82" s="3"/>
      <c r="C82" s="27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12.75" customHeight="1">
      <c r="A83" s="3"/>
      <c r="B83" s="3"/>
      <c r="C83" s="27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12.75" customHeight="1">
      <c r="A84" s="3"/>
      <c r="B84" s="3"/>
      <c r="C84" s="27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t="12.75" customHeight="1">
      <c r="A85" s="3"/>
      <c r="B85" s="3"/>
      <c r="C85" s="27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12.75" customHeight="1">
      <c r="A86" s="3"/>
      <c r="B86" s="3"/>
      <c r="C86" s="27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12.75" customHeight="1">
      <c r="A87" s="3"/>
      <c r="B87" s="3"/>
      <c r="C87" s="27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12.75" customHeight="1">
      <c r="A88" s="3"/>
      <c r="B88" s="3"/>
      <c r="C88" s="27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12.75" customHeight="1">
      <c r="A89" s="3"/>
      <c r="B89" s="3"/>
      <c r="C89" s="27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12.75" customHeight="1">
      <c r="A90" s="3"/>
      <c r="B90" s="3"/>
      <c r="C90" s="27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12.75" customHeight="1">
      <c r="A91" s="3"/>
      <c r="B91" s="3"/>
      <c r="C91" s="27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12.75" customHeight="1">
      <c r="A92" s="3"/>
      <c r="B92" s="3"/>
      <c r="C92" s="27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12.75" customHeight="1">
      <c r="A93" s="3"/>
      <c r="B93" s="3"/>
      <c r="C93" s="27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12.75" customHeight="1">
      <c r="A94" s="3"/>
      <c r="B94" s="3"/>
      <c r="C94" s="27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12.75" customHeight="1">
      <c r="A95" s="3"/>
      <c r="B95" s="3"/>
      <c r="C95" s="27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12.75" customHeight="1">
      <c r="A96" s="3"/>
      <c r="B96" s="3"/>
      <c r="C96" s="27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12.75" customHeight="1">
      <c r="A97" s="3"/>
      <c r="B97" s="3"/>
      <c r="C97" s="27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12.75" customHeight="1">
      <c r="A98" s="3"/>
      <c r="B98" s="3"/>
      <c r="C98" s="27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12.75" customHeight="1">
      <c r="A99" s="3"/>
      <c r="B99" s="3"/>
      <c r="C99" s="27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12.75" customHeight="1">
      <c r="A100" s="3"/>
      <c r="B100" s="3"/>
      <c r="C100" s="27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12.75" customHeight="1">
      <c r="A101" s="3"/>
      <c r="B101" s="3"/>
      <c r="C101" s="27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12.75" customHeight="1">
      <c r="A102" s="3"/>
      <c r="B102" s="3"/>
      <c r="C102" s="27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12.75" customHeight="1">
      <c r="A103" s="3"/>
      <c r="B103" s="3"/>
      <c r="C103" s="27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12.75" customHeight="1">
      <c r="A104" s="3"/>
      <c r="B104" s="3"/>
      <c r="C104" s="27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12.75" customHeight="1">
      <c r="A105" s="3"/>
      <c r="B105" s="3"/>
      <c r="C105" s="27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12.75" customHeight="1">
      <c r="A106" s="3"/>
      <c r="B106" s="3"/>
      <c r="C106" s="27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12.75" customHeight="1">
      <c r="A107" s="3"/>
      <c r="B107" s="3"/>
      <c r="C107" s="27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12.75" customHeight="1">
      <c r="A108" s="3"/>
      <c r="B108" s="3"/>
      <c r="C108" s="27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12.75" customHeight="1">
      <c r="A109" s="3"/>
      <c r="B109" s="3"/>
      <c r="C109" s="27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12.75" customHeight="1">
      <c r="A110" s="3"/>
      <c r="B110" s="3"/>
      <c r="C110" s="27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12.75" customHeight="1">
      <c r="A111" s="3"/>
      <c r="B111" s="3"/>
      <c r="C111" s="27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12.75" customHeight="1">
      <c r="A112" s="3"/>
      <c r="B112" s="3"/>
      <c r="C112" s="27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ht="12.75" customHeight="1">
      <c r="A113" s="3"/>
      <c r="B113" s="3"/>
      <c r="C113" s="27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ht="12.75" customHeight="1">
      <c r="A114" s="3"/>
      <c r="B114" s="3"/>
      <c r="C114" s="27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ht="12.75" customHeight="1">
      <c r="A115" s="3"/>
      <c r="B115" s="3"/>
      <c r="C115" s="27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ht="12.75" customHeight="1">
      <c r="A116" s="3"/>
      <c r="B116" s="3"/>
      <c r="C116" s="27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ht="12.75" customHeight="1">
      <c r="A117" s="3"/>
      <c r="B117" s="3"/>
      <c r="C117" s="27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12.75" customHeight="1">
      <c r="A118" s="3"/>
      <c r="B118" s="3"/>
      <c r="C118" s="27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ht="12.75" customHeight="1">
      <c r="A119" s="3"/>
      <c r="B119" s="3"/>
      <c r="C119" s="27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12.75" customHeight="1">
      <c r="A120" s="3"/>
      <c r="B120" s="3"/>
      <c r="C120" s="27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12.75" customHeight="1">
      <c r="A121" s="3"/>
      <c r="B121" s="3"/>
      <c r="C121" s="27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12.75" customHeight="1">
      <c r="A122" s="3"/>
      <c r="B122" s="3"/>
      <c r="C122" s="27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12.75" customHeight="1">
      <c r="A123" s="3"/>
      <c r="B123" s="3"/>
      <c r="C123" s="27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12.75" customHeight="1">
      <c r="A124" s="3"/>
      <c r="B124" s="3"/>
      <c r="C124" s="27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12.75" customHeight="1">
      <c r="A125" s="3"/>
      <c r="B125" s="3"/>
      <c r="C125" s="27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12.75" customHeight="1">
      <c r="A126" s="3"/>
      <c r="B126" s="3"/>
      <c r="C126" s="27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12.75" customHeight="1">
      <c r="A127" s="3"/>
      <c r="B127" s="3"/>
      <c r="C127" s="27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12.75" customHeight="1">
      <c r="A128" s="3"/>
      <c r="B128" s="3"/>
      <c r="C128" s="27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12.75" customHeight="1">
      <c r="A129" s="3"/>
      <c r="B129" s="3"/>
      <c r="C129" s="27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12.75" customHeight="1">
      <c r="A130" s="3"/>
      <c r="B130" s="3"/>
      <c r="C130" s="27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12.75" customHeight="1">
      <c r="A131" s="3"/>
      <c r="B131" s="3"/>
      <c r="C131" s="27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12.75" customHeight="1">
      <c r="A132" s="3"/>
      <c r="B132" s="3"/>
      <c r="C132" s="27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ht="12.75" customHeight="1">
      <c r="A133" s="3"/>
      <c r="B133" s="3"/>
      <c r="C133" s="27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12.75" customHeight="1">
      <c r="A134" s="3"/>
      <c r="B134" s="3"/>
      <c r="C134" s="27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12.75" customHeight="1">
      <c r="A135" s="3"/>
      <c r="B135" s="3"/>
      <c r="C135" s="27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12.75" customHeight="1">
      <c r="A136" s="3"/>
      <c r="B136" s="3"/>
      <c r="C136" s="27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ht="12.75" customHeight="1">
      <c r="A137" s="3"/>
      <c r="B137" s="3"/>
      <c r="C137" s="27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ht="12.75" customHeight="1">
      <c r="A138" s="3"/>
      <c r="B138" s="3"/>
      <c r="C138" s="27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ht="12.75" customHeight="1">
      <c r="A139" s="3"/>
      <c r="B139" s="3"/>
      <c r="C139" s="27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ht="12.75" customHeight="1">
      <c r="A140" s="3"/>
      <c r="B140" s="3"/>
      <c r="C140" s="27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12.75" customHeight="1">
      <c r="A141" s="3"/>
      <c r="B141" s="3"/>
      <c r="C141" s="27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ht="12.75" customHeight="1">
      <c r="A142" s="3"/>
      <c r="B142" s="3"/>
      <c r="C142" s="27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ht="12.75" customHeight="1">
      <c r="A143" s="3"/>
      <c r="B143" s="3"/>
      <c r="C143" s="27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ht="12.75" customHeight="1">
      <c r="A144" s="3"/>
      <c r="B144" s="3"/>
      <c r="C144" s="27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ht="12.75" customHeight="1">
      <c r="A145" s="3"/>
      <c r="B145" s="3"/>
      <c r="C145" s="27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ht="12.75" customHeight="1">
      <c r="A146" s="3"/>
      <c r="B146" s="3"/>
      <c r="C146" s="27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ht="12.75" customHeight="1">
      <c r="A147" s="3"/>
      <c r="B147" s="3"/>
      <c r="C147" s="27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ht="12.75" customHeight="1">
      <c r="A148" s="3"/>
      <c r="B148" s="3"/>
      <c r="C148" s="27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12.75" customHeight="1">
      <c r="A149" s="3"/>
      <c r="B149" s="3"/>
      <c r="C149" s="27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12.75" customHeight="1">
      <c r="A150" s="3"/>
      <c r="B150" s="3"/>
      <c r="C150" s="27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12.75" customHeight="1">
      <c r="A151" s="3"/>
      <c r="B151" s="3"/>
      <c r="C151" s="27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12.75" customHeight="1">
      <c r="A152" s="3"/>
      <c r="B152" s="3"/>
      <c r="C152" s="27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12.75" customHeight="1">
      <c r="A153" s="3"/>
      <c r="B153" s="3"/>
      <c r="C153" s="27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12.75" customHeight="1">
      <c r="A154" s="3"/>
      <c r="B154" s="3"/>
      <c r="C154" s="27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12.75" customHeight="1">
      <c r="A155" s="3"/>
      <c r="B155" s="3"/>
      <c r="C155" s="27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ht="12.75" customHeight="1">
      <c r="A156" s="3"/>
      <c r="B156" s="3"/>
      <c r="C156" s="27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ht="12.75" customHeight="1">
      <c r="A157" s="3"/>
      <c r="B157" s="3"/>
      <c r="C157" s="27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ht="12.75" customHeight="1">
      <c r="A158" s="3"/>
      <c r="B158" s="3"/>
      <c r="C158" s="27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ht="12.75" customHeight="1">
      <c r="A159" s="3"/>
      <c r="B159" s="3"/>
      <c r="C159" s="27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ht="12.75" customHeight="1">
      <c r="A160" s="3"/>
      <c r="B160" s="3"/>
      <c r="C160" s="27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ht="12.75" customHeight="1">
      <c r="A161" s="3"/>
      <c r="B161" s="3"/>
      <c r="C161" s="27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ht="12.75" customHeight="1">
      <c r="A162" s="3"/>
      <c r="B162" s="3"/>
      <c r="C162" s="27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12.75" customHeight="1">
      <c r="A163" s="3"/>
      <c r="B163" s="3"/>
      <c r="C163" s="27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12.75" customHeight="1">
      <c r="A164" s="3"/>
      <c r="B164" s="3"/>
      <c r="C164" s="27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12.75" customHeight="1">
      <c r="A165" s="3"/>
      <c r="B165" s="3"/>
      <c r="C165" s="27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12.75" customHeight="1">
      <c r="A166" s="3"/>
      <c r="B166" s="3"/>
      <c r="C166" s="27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12.75" customHeight="1">
      <c r="A167" s="3"/>
      <c r="B167" s="3"/>
      <c r="C167" s="27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ht="12.75" customHeight="1">
      <c r="A168" s="3"/>
      <c r="B168" s="3"/>
      <c r="C168" s="27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12.75" customHeight="1">
      <c r="A169" s="3"/>
      <c r="B169" s="3"/>
      <c r="C169" s="27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ht="12.75" customHeight="1">
      <c r="A170" s="3"/>
      <c r="B170" s="3"/>
      <c r="C170" s="27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ht="12.75" customHeight="1">
      <c r="A171" s="3"/>
      <c r="B171" s="3"/>
      <c r="C171" s="27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ht="12.75" customHeight="1">
      <c r="A172" s="3"/>
      <c r="B172" s="3"/>
      <c r="C172" s="27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ht="12.75" customHeight="1">
      <c r="A173" s="3"/>
      <c r="B173" s="3"/>
      <c r="C173" s="27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ht="12.75" customHeight="1">
      <c r="A174" s="3"/>
      <c r="B174" s="3"/>
      <c r="C174" s="27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ht="12.75" customHeight="1">
      <c r="A175" s="3"/>
      <c r="B175" s="3"/>
      <c r="C175" s="27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ht="12.75" customHeight="1">
      <c r="A176" s="3"/>
      <c r="B176" s="3"/>
      <c r="C176" s="27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ht="12.75" customHeight="1">
      <c r="A177" s="3"/>
      <c r="B177" s="3"/>
      <c r="C177" s="27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12.75" customHeight="1">
      <c r="A178" s="3"/>
      <c r="B178" s="3"/>
      <c r="C178" s="27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12.75" customHeight="1">
      <c r="A179" s="3"/>
      <c r="B179" s="3"/>
      <c r="C179" s="27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12.75" customHeight="1">
      <c r="A180" s="3"/>
      <c r="B180" s="3"/>
      <c r="C180" s="27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12.75" customHeight="1">
      <c r="A181" s="3"/>
      <c r="B181" s="3"/>
      <c r="C181" s="27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12.75" customHeight="1">
      <c r="A182" s="3"/>
      <c r="B182" s="3"/>
      <c r="C182" s="27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12.75" customHeight="1">
      <c r="A183" s="3"/>
      <c r="B183" s="3"/>
      <c r="C183" s="27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12.75" customHeight="1">
      <c r="A184" s="3"/>
      <c r="B184" s="3"/>
      <c r="C184" s="27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12.75" customHeight="1">
      <c r="A185" s="3"/>
      <c r="B185" s="3"/>
      <c r="C185" s="27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ht="12.75" customHeight="1">
      <c r="A186" s="3"/>
      <c r="B186" s="3"/>
      <c r="C186" s="27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ht="12.75" customHeight="1">
      <c r="A187" s="3"/>
      <c r="B187" s="3"/>
      <c r="C187" s="27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ht="12.75" customHeight="1">
      <c r="A188" s="3"/>
      <c r="B188" s="3"/>
      <c r="C188" s="27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ht="12.75" customHeight="1">
      <c r="A189" s="3"/>
      <c r="B189" s="3"/>
      <c r="C189" s="27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ht="12.75" customHeight="1">
      <c r="A190" s="3"/>
      <c r="B190" s="3"/>
      <c r="C190" s="27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ht="12.75" customHeight="1">
      <c r="A191" s="3"/>
      <c r="B191" s="3"/>
      <c r="C191" s="27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ht="12.75" customHeight="1">
      <c r="A192" s="3"/>
      <c r="B192" s="3"/>
      <c r="C192" s="27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ht="12.75" customHeight="1">
      <c r="A193" s="3"/>
      <c r="B193" s="3"/>
      <c r="C193" s="27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ht="12.75" customHeight="1">
      <c r="A194" s="3"/>
      <c r="B194" s="3"/>
      <c r="C194" s="27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ht="12.75" customHeight="1">
      <c r="A195" s="3"/>
      <c r="B195" s="3"/>
      <c r="C195" s="27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ht="12.75" customHeight="1">
      <c r="A196" s="3"/>
      <c r="B196" s="3"/>
      <c r="C196" s="27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ht="12.75" customHeight="1">
      <c r="A197" s="3"/>
      <c r="B197" s="3"/>
      <c r="C197" s="27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ht="12.75" customHeight="1">
      <c r="A198" s="3"/>
      <c r="B198" s="3"/>
      <c r="C198" s="27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ht="12.75" customHeight="1">
      <c r="A199" s="3"/>
      <c r="B199" s="3"/>
      <c r="C199" s="27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ht="12.75" customHeight="1">
      <c r="A200" s="3"/>
      <c r="B200" s="3"/>
      <c r="C200" s="27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ht="12.75" customHeight="1">
      <c r="A201" s="3"/>
      <c r="B201" s="3"/>
      <c r="C201" s="27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ht="12.75" customHeight="1">
      <c r="A202" s="3"/>
      <c r="B202" s="3"/>
      <c r="C202" s="27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ht="12.75" customHeight="1">
      <c r="A203" s="3"/>
      <c r="B203" s="3"/>
      <c r="C203" s="27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ht="12.75" customHeight="1">
      <c r="A204" s="3"/>
      <c r="B204" s="3"/>
      <c r="C204" s="27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ht="12.75" customHeight="1">
      <c r="A205" s="3"/>
      <c r="B205" s="3"/>
      <c r="C205" s="27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ht="12.75" customHeight="1">
      <c r="A206" s="3"/>
      <c r="B206" s="3"/>
      <c r="C206" s="27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ht="12.75" customHeight="1">
      <c r="A207" s="3"/>
      <c r="B207" s="3"/>
      <c r="C207" s="27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ht="12.75" customHeight="1">
      <c r="A208" s="3"/>
      <c r="B208" s="3"/>
      <c r="C208" s="27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ht="12.75" customHeight="1">
      <c r="A209" s="3"/>
      <c r="B209" s="3"/>
      <c r="C209" s="27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ht="12.75" customHeight="1">
      <c r="A210" s="3"/>
      <c r="B210" s="3"/>
      <c r="C210" s="27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ht="12.75" customHeight="1">
      <c r="A211" s="3"/>
      <c r="B211" s="3"/>
      <c r="C211" s="27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ht="12.75" customHeight="1">
      <c r="A212" s="3"/>
      <c r="B212" s="3"/>
      <c r="C212" s="27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ht="12.75" customHeight="1">
      <c r="A213" s="3"/>
      <c r="B213" s="3"/>
      <c r="C213" s="27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ht="12.75" customHeight="1">
      <c r="A214" s="3"/>
      <c r="B214" s="3"/>
      <c r="C214" s="27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ht="12.75" customHeight="1">
      <c r="A215" s="3"/>
      <c r="B215" s="3"/>
      <c r="C215" s="27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ht="12.75" customHeight="1">
      <c r="A216" s="3"/>
      <c r="B216" s="3"/>
      <c r="C216" s="27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ht="12.75" customHeight="1">
      <c r="A217" s="3"/>
      <c r="B217" s="3"/>
      <c r="C217" s="27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ht="12.75" customHeight="1">
      <c r="A218" s="3"/>
      <c r="B218" s="3"/>
      <c r="C218" s="27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ht="12.75" customHeight="1">
      <c r="A219" s="3"/>
      <c r="B219" s="3"/>
      <c r="C219" s="27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ht="12.75" customHeight="1">
      <c r="A220" s="3"/>
      <c r="B220" s="3"/>
      <c r="C220" s="27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ht="12.75" customHeight="1">
      <c r="A221" s="3"/>
      <c r="B221" s="3"/>
      <c r="C221" s="27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ht="12.75" customHeight="1">
      <c r="A222" s="3"/>
      <c r="B222" s="3"/>
      <c r="C222" s="27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ht="12.75" customHeight="1">
      <c r="A223" s="3"/>
      <c r="B223" s="3"/>
      <c r="C223" s="27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ht="12.75" customHeight="1">
      <c r="A224" s="3"/>
      <c r="B224" s="3"/>
      <c r="C224" s="27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ht="12.75" customHeight="1">
      <c r="A225" s="3"/>
      <c r="B225" s="3"/>
      <c r="C225" s="27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ht="12.75" customHeight="1">
      <c r="A226" s="3"/>
      <c r="B226" s="3"/>
      <c r="C226" s="27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ht="12.75" customHeight="1">
      <c r="A227" s="3"/>
      <c r="B227" s="3"/>
      <c r="C227" s="27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ht="12.75" customHeight="1">
      <c r="A228" s="3"/>
      <c r="B228" s="3"/>
      <c r="C228" s="27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ht="12.75" customHeight="1">
      <c r="A229" s="3"/>
      <c r="B229" s="3"/>
      <c r="C229" s="27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ht="12.75" customHeight="1">
      <c r="A230" s="3"/>
      <c r="B230" s="3"/>
      <c r="C230" s="27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ht="12.75" customHeight="1">
      <c r="A231" s="3"/>
      <c r="B231" s="3"/>
      <c r="C231" s="27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ht="12.75" customHeight="1">
      <c r="A232" s="3"/>
      <c r="B232" s="3"/>
      <c r="C232" s="27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ht="12.75" customHeight="1">
      <c r="A233" s="3"/>
      <c r="B233" s="3"/>
      <c r="C233" s="27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ht="12.75" customHeight="1">
      <c r="A234" s="3"/>
      <c r="B234" s="3"/>
      <c r="C234" s="27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ht="12.75" customHeight="1">
      <c r="A235" s="3"/>
      <c r="B235" s="3"/>
      <c r="C235" s="27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ht="12.75" customHeight="1">
      <c r="A236" s="3"/>
      <c r="B236" s="3"/>
      <c r="C236" s="27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ht="12.75" customHeight="1">
      <c r="A237" s="3"/>
      <c r="B237" s="3"/>
      <c r="C237" s="27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ht="12.75" customHeight="1">
      <c r="A238" s="3"/>
      <c r="B238" s="3"/>
      <c r="C238" s="27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ht="12.75" customHeight="1">
      <c r="A239" s="3"/>
      <c r="B239" s="3"/>
      <c r="C239" s="27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ht="12.75" customHeight="1">
      <c r="A240" s="3"/>
      <c r="B240" s="3"/>
      <c r="C240" s="27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ht="12.75" customHeight="1">
      <c r="A241" s="3"/>
      <c r="B241" s="3"/>
      <c r="C241" s="27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ht="12.75" customHeight="1">
      <c r="A242" s="3"/>
      <c r="B242" s="3"/>
      <c r="C242" s="27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ht="12.75" customHeight="1">
      <c r="A243" s="3"/>
      <c r="B243" s="3"/>
      <c r="C243" s="27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ht="12.75" customHeight="1">
      <c r="A244" s="3"/>
      <c r="B244" s="3"/>
      <c r="C244" s="27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ht="12.75" customHeight="1">
      <c r="A245" s="3"/>
      <c r="B245" s="3"/>
      <c r="C245" s="27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ht="12.75" customHeight="1">
      <c r="A246" s="3"/>
      <c r="B246" s="3"/>
      <c r="C246" s="27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ht="12.75" customHeight="1">
      <c r="A247" s="3"/>
      <c r="B247" s="3"/>
      <c r="C247" s="27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ht="12.75" customHeight="1">
      <c r="A248" s="3"/>
      <c r="B248" s="3"/>
      <c r="C248" s="27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ht="12.75" customHeight="1">
      <c r="A249" s="3"/>
      <c r="B249" s="3"/>
      <c r="C249" s="27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ht="12.75" customHeight="1">
      <c r="A250" s="3"/>
      <c r="B250" s="3"/>
      <c r="C250" s="27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ht="12.75" customHeight="1">
      <c r="A251" s="3"/>
      <c r="B251" s="3"/>
      <c r="C251" s="27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ht="12.75" customHeight="1">
      <c r="A252" s="3"/>
      <c r="B252" s="3"/>
      <c r="C252" s="27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ht="12.75" customHeight="1">
      <c r="A253" s="3"/>
      <c r="B253" s="3"/>
      <c r="C253" s="27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ht="12.75" customHeight="1">
      <c r="A254" s="3"/>
      <c r="B254" s="3"/>
      <c r="C254" s="27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ht="12.75" customHeight="1">
      <c r="A255" s="3"/>
      <c r="B255" s="3"/>
      <c r="C255" s="27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ht="12.75" customHeight="1">
      <c r="A256" s="3"/>
      <c r="B256" s="3"/>
      <c r="C256" s="27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ht="12.75" customHeight="1">
      <c r="A257" s="3"/>
      <c r="B257" s="3"/>
      <c r="C257" s="27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ht="12.75" customHeight="1">
      <c r="A258" s="3"/>
      <c r="B258" s="3"/>
      <c r="C258" s="27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ht="12.75" customHeight="1">
      <c r="A259" s="3"/>
      <c r="B259" s="3"/>
      <c r="C259" s="27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ht="12.75" customHeight="1">
      <c r="A260" s="3"/>
      <c r="B260" s="3"/>
      <c r="C260" s="27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ht="12.75" customHeight="1">
      <c r="A261" s="3"/>
      <c r="B261" s="3"/>
      <c r="C261" s="27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ht="12.75" customHeight="1">
      <c r="A262" s="3"/>
      <c r="B262" s="3"/>
      <c r="C262" s="27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ht="12.75" customHeight="1">
      <c r="A263" s="3"/>
      <c r="B263" s="3"/>
      <c r="C263" s="27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ht="12.75" customHeight="1">
      <c r="A264" s="3"/>
      <c r="B264" s="3"/>
      <c r="C264" s="27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ht="12.75" customHeight="1">
      <c r="A265" s="3"/>
      <c r="B265" s="3"/>
      <c r="C265" s="27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ht="12.75" customHeight="1">
      <c r="A266" s="3"/>
      <c r="B266" s="3"/>
      <c r="C266" s="27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ht="12.75" customHeight="1">
      <c r="A267" s="3"/>
      <c r="B267" s="3"/>
      <c r="C267" s="27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ht="12.75" customHeight="1">
      <c r="A268" s="3"/>
      <c r="B268" s="3"/>
      <c r="C268" s="27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ht="12.75" customHeight="1">
      <c r="A269" s="3"/>
      <c r="B269" s="3"/>
      <c r="C269" s="27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ht="12.75" customHeight="1">
      <c r="A270" s="3"/>
      <c r="B270" s="3"/>
      <c r="C270" s="27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ht="12.75" customHeight="1">
      <c r="A271" s="3"/>
      <c r="B271" s="3"/>
      <c r="C271" s="27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ht="12.75" customHeight="1">
      <c r="A272" s="3"/>
      <c r="B272" s="3"/>
      <c r="C272" s="27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ht="12.75" customHeight="1">
      <c r="A273" s="3"/>
      <c r="B273" s="3"/>
      <c r="C273" s="27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</sheetData>
  <autoFilter ref="$B$1:$E$60"/>
  <mergeCells count="13">
    <mergeCell ref="C72:D72"/>
    <mergeCell ref="C73:D73"/>
    <mergeCell ref="C74:D74"/>
    <mergeCell ref="C75:D75"/>
    <mergeCell ref="C76:D76"/>
    <mergeCell ref="C77:D77"/>
    <mergeCell ref="J1:K1"/>
    <mergeCell ref="C66:D66"/>
    <mergeCell ref="C67:D67"/>
    <mergeCell ref="C68:D68"/>
    <mergeCell ref="C69:D69"/>
    <mergeCell ref="C70:D70"/>
    <mergeCell ref="C71:D71"/>
  </mergeCells>
  <printOptions/>
  <pageMargins bottom="0.196527777777778" footer="0.0" header="0.0" left="0.196527777777778" right="0.196527777777778" top="0.196527777777778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.0"/>
    <col customWidth="1" min="2" max="2" width="11.63"/>
    <col customWidth="1" min="3" max="3" width="12.38"/>
    <col customWidth="1" min="4" max="4" width="11.63"/>
    <col customWidth="1" min="5" max="5" width="12.5"/>
    <col customWidth="1" min="6" max="6" width="6.13"/>
    <col customWidth="1" min="7" max="7" width="3.63"/>
    <col customWidth="1" min="8" max="8" width="11.63"/>
    <col customWidth="1" min="9" max="9" width="5.5"/>
    <col customWidth="1" min="10" max="10" width="4.88"/>
    <col customWidth="1" min="11" max="11" width="10.25"/>
    <col customWidth="1" min="12" max="12" width="6.13"/>
    <col customWidth="1" min="13" max="25" width="14.63"/>
    <col customWidth="1" min="26" max="26" width="12.75"/>
  </cols>
  <sheetData>
    <row r="1" ht="17.25" customHeight="1">
      <c r="A1" s="1"/>
      <c r="B1" s="2" t="s">
        <v>0</v>
      </c>
      <c r="C1" s="4" t="s">
        <v>1</v>
      </c>
      <c r="D1" s="2" t="s">
        <v>2</v>
      </c>
      <c r="E1" s="2" t="s">
        <v>3</v>
      </c>
      <c r="F1" s="5"/>
      <c r="G1" s="3"/>
      <c r="H1" s="3"/>
      <c r="I1" s="6"/>
      <c r="J1" s="7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75" customHeight="1">
      <c r="A2" s="1">
        <v>1.0</v>
      </c>
      <c r="B2" s="10" t="s">
        <v>5</v>
      </c>
      <c r="C2" s="11">
        <v>1.00001E7</v>
      </c>
      <c r="D2" s="12" t="s">
        <v>8</v>
      </c>
      <c r="E2" s="13">
        <v>1.0</v>
      </c>
      <c r="F2" s="3"/>
      <c r="G2" s="3"/>
      <c r="H2" s="3" t="s">
        <v>11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2.75" customHeight="1">
      <c r="A3" s="1">
        <f t="shared" ref="A3:A64" si="1">A2+1</f>
        <v>2</v>
      </c>
      <c r="B3" s="10" t="s">
        <v>12</v>
      </c>
      <c r="C3" s="11">
        <v>1.00002E7</v>
      </c>
      <c r="D3" s="10" t="s">
        <v>13</v>
      </c>
      <c r="E3" s="17">
        <v>1.0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2.75" customHeight="1">
      <c r="A4" s="1">
        <f t="shared" si="1"/>
        <v>3</v>
      </c>
      <c r="B4" s="10" t="s">
        <v>12</v>
      </c>
      <c r="C4" s="11">
        <v>1.000015E7</v>
      </c>
      <c r="D4" s="10" t="s">
        <v>13</v>
      </c>
      <c r="E4" s="17">
        <v>1.0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2.75" customHeight="1">
      <c r="A5" s="1">
        <f t="shared" si="1"/>
        <v>4</v>
      </c>
      <c r="B5" s="10" t="s">
        <v>12</v>
      </c>
      <c r="C5" s="11">
        <v>1.000013E7</v>
      </c>
      <c r="D5" s="10" t="s">
        <v>13</v>
      </c>
      <c r="E5" s="17">
        <v>1.0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2.75" customHeight="1">
      <c r="A6" s="1">
        <f t="shared" si="1"/>
        <v>5</v>
      </c>
      <c r="B6" s="10" t="s">
        <v>12</v>
      </c>
      <c r="C6" s="11">
        <v>1.000011E7</v>
      </c>
      <c r="D6" s="10" t="s">
        <v>13</v>
      </c>
      <c r="E6" s="17">
        <v>1.0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2.75" customHeight="1">
      <c r="A7" s="1">
        <f t="shared" si="1"/>
        <v>6</v>
      </c>
      <c r="B7" s="10" t="s">
        <v>12</v>
      </c>
      <c r="C7" s="11">
        <v>1.000018E7</v>
      </c>
      <c r="D7" s="10" t="s">
        <v>13</v>
      </c>
      <c r="E7" s="17">
        <v>1.0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2.75" customHeight="1">
      <c r="A8" s="1">
        <f t="shared" si="1"/>
        <v>7</v>
      </c>
      <c r="B8" s="10" t="s">
        <v>12</v>
      </c>
      <c r="C8" s="11">
        <v>1.000016E7</v>
      </c>
      <c r="D8" s="10" t="s">
        <v>13</v>
      </c>
      <c r="E8" s="17">
        <v>1.0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2.75" customHeight="1">
      <c r="A9" s="1">
        <f t="shared" si="1"/>
        <v>8</v>
      </c>
      <c r="B9" s="10" t="s">
        <v>12</v>
      </c>
      <c r="C9" s="11">
        <v>1.000017E7</v>
      </c>
      <c r="D9" s="10" t="s">
        <v>13</v>
      </c>
      <c r="E9" s="17">
        <v>1.0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2.75" customHeight="1">
      <c r="A10" s="1">
        <f t="shared" si="1"/>
        <v>9</v>
      </c>
      <c r="B10" s="10" t="s">
        <v>12</v>
      </c>
      <c r="C10" s="11">
        <v>1.00002E7</v>
      </c>
      <c r="D10" s="12" t="s">
        <v>8</v>
      </c>
      <c r="E10" s="17"/>
      <c r="F10" s="3"/>
      <c r="G10" s="3"/>
      <c r="H10" s="3" t="s">
        <v>17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2.75" customHeight="1">
      <c r="A11" s="1">
        <f t="shared" si="1"/>
        <v>10</v>
      </c>
      <c r="B11" s="10" t="s">
        <v>12</v>
      </c>
      <c r="C11" s="11">
        <v>1.000011E7</v>
      </c>
      <c r="D11" s="12" t="s">
        <v>8</v>
      </c>
      <c r="E11" s="17"/>
      <c r="F11" s="3"/>
      <c r="G11" s="3"/>
      <c r="H11" s="3" t="s">
        <v>17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2.75" customHeight="1">
      <c r="A12" s="1">
        <f t="shared" si="1"/>
        <v>11</v>
      </c>
      <c r="B12" s="10" t="s">
        <v>12</v>
      </c>
      <c r="C12" s="11">
        <v>1.000015E7</v>
      </c>
      <c r="D12" s="12" t="s">
        <v>8</v>
      </c>
      <c r="E12" s="17"/>
      <c r="F12" s="3"/>
      <c r="G12" s="3"/>
      <c r="H12" s="3" t="s">
        <v>17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2.75" customHeight="1">
      <c r="A13" s="1">
        <f t="shared" si="1"/>
        <v>12</v>
      </c>
      <c r="B13" s="10" t="s">
        <v>12</v>
      </c>
      <c r="C13" s="11">
        <v>1.000021E7</v>
      </c>
      <c r="D13" s="10" t="s">
        <v>13</v>
      </c>
      <c r="E13" s="17">
        <v>1.0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2.75" customHeight="1">
      <c r="A14" s="1">
        <f t="shared" si="1"/>
        <v>13</v>
      </c>
      <c r="B14" s="10" t="s">
        <v>12</v>
      </c>
      <c r="C14" s="11">
        <v>1.000023E7</v>
      </c>
      <c r="D14" s="10" t="s">
        <v>13</v>
      </c>
      <c r="E14" s="17">
        <v>1.0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2.75" customHeight="1">
      <c r="A15" s="1">
        <f t="shared" si="1"/>
        <v>14</v>
      </c>
      <c r="B15" s="10" t="s">
        <v>12</v>
      </c>
      <c r="C15" s="11">
        <v>1.000022E7</v>
      </c>
      <c r="D15" s="10" t="s">
        <v>13</v>
      </c>
      <c r="E15" s="17">
        <v>1.0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2.75" customHeight="1">
      <c r="A16" s="1">
        <f t="shared" si="1"/>
        <v>15</v>
      </c>
      <c r="B16" s="10" t="s">
        <v>12</v>
      </c>
      <c r="C16" s="11">
        <v>1.000027E7</v>
      </c>
      <c r="D16" s="10" t="s">
        <v>13</v>
      </c>
      <c r="E16" s="17">
        <v>1.0</v>
      </c>
      <c r="F16" s="3"/>
      <c r="G16" s="3"/>
      <c r="H16" s="3" t="s">
        <v>20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2.75" customHeight="1">
      <c r="A17" s="1">
        <f t="shared" si="1"/>
        <v>16</v>
      </c>
      <c r="B17" s="10" t="s">
        <v>12</v>
      </c>
      <c r="C17" s="11">
        <v>1.000029E7</v>
      </c>
      <c r="D17" s="10" t="s">
        <v>13</v>
      </c>
      <c r="E17" s="17">
        <v>1.0</v>
      </c>
      <c r="F17" s="3"/>
      <c r="G17" s="3"/>
      <c r="H17" s="3" t="s">
        <v>20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2.75" customHeight="1">
      <c r="A18" s="1">
        <f t="shared" si="1"/>
        <v>17</v>
      </c>
      <c r="B18" s="10" t="s">
        <v>12</v>
      </c>
      <c r="C18" s="11">
        <v>1.000025E7</v>
      </c>
      <c r="D18" s="10" t="s">
        <v>13</v>
      </c>
      <c r="E18" s="17">
        <v>1.0</v>
      </c>
      <c r="F18" s="3"/>
      <c r="G18" s="3"/>
      <c r="H18" s="3" t="s">
        <v>20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2.75" customHeight="1">
      <c r="A19" s="1">
        <f t="shared" si="1"/>
        <v>18</v>
      </c>
      <c r="B19" s="10" t="s">
        <v>12</v>
      </c>
      <c r="C19" s="11">
        <v>1.000026E7</v>
      </c>
      <c r="D19" s="10" t="s">
        <v>13</v>
      </c>
      <c r="E19" s="17">
        <v>1.0</v>
      </c>
      <c r="F19" s="3"/>
      <c r="G19" s="3"/>
      <c r="H19" s="3" t="s">
        <v>20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2.75" customHeight="1">
      <c r="A20" s="1">
        <f t="shared" si="1"/>
        <v>19</v>
      </c>
      <c r="B20" s="10" t="s">
        <v>5</v>
      </c>
      <c r="C20" s="11">
        <v>1.000023E7</v>
      </c>
      <c r="D20" s="10" t="s">
        <v>13</v>
      </c>
      <c r="E20" s="21">
        <v>10.0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2.75" customHeight="1">
      <c r="A21" s="1">
        <f t="shared" si="1"/>
        <v>20</v>
      </c>
      <c r="B21" s="10" t="s">
        <v>5</v>
      </c>
      <c r="C21" s="11">
        <v>1.00002E7</v>
      </c>
      <c r="D21" s="10" t="s">
        <v>13</v>
      </c>
      <c r="E21" s="21">
        <v>7.0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2.75" customHeight="1">
      <c r="A22" s="1">
        <f t="shared" si="1"/>
        <v>21</v>
      </c>
      <c r="B22" s="10" t="s">
        <v>5</v>
      </c>
      <c r="C22" s="11">
        <v>1.000011E7</v>
      </c>
      <c r="D22" s="10" t="s">
        <v>13</v>
      </c>
      <c r="E22" s="21">
        <v>1.0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2.75" customHeight="1">
      <c r="A23" s="1">
        <f t="shared" si="1"/>
        <v>22</v>
      </c>
      <c r="B23" s="10" t="s">
        <v>5</v>
      </c>
      <c r="C23" s="11">
        <v>1.000017E7</v>
      </c>
      <c r="D23" s="10" t="s">
        <v>13</v>
      </c>
      <c r="E23" s="21">
        <v>5.0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75" customHeight="1">
      <c r="A24" s="1">
        <f t="shared" si="1"/>
        <v>23</v>
      </c>
      <c r="B24" s="10" t="s">
        <v>5</v>
      </c>
      <c r="C24" s="11">
        <v>1.000016E7</v>
      </c>
      <c r="D24" s="10" t="s">
        <v>13</v>
      </c>
      <c r="E24" s="21">
        <v>4.0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75" customHeight="1">
      <c r="A25" s="1">
        <f t="shared" si="1"/>
        <v>24</v>
      </c>
      <c r="B25" s="10" t="s">
        <v>5</v>
      </c>
      <c r="C25" s="11">
        <v>1.000029E7</v>
      </c>
      <c r="D25" s="10" t="s">
        <v>13</v>
      </c>
      <c r="E25" s="21">
        <v>14.0</v>
      </c>
      <c r="F25" s="3"/>
      <c r="G25" s="3"/>
      <c r="H25" s="3" t="s">
        <v>20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75" customHeight="1">
      <c r="A26" s="1">
        <f t="shared" si="1"/>
        <v>25</v>
      </c>
      <c r="B26" s="10" t="s">
        <v>25</v>
      </c>
      <c r="C26" s="11">
        <v>1.00002E7</v>
      </c>
      <c r="D26" s="10" t="s">
        <v>13</v>
      </c>
      <c r="E26" s="23">
        <v>0.5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75" customHeight="1">
      <c r="A27" s="1">
        <f t="shared" si="1"/>
        <v>26</v>
      </c>
      <c r="B27" s="10" t="s">
        <v>5</v>
      </c>
      <c r="C27" s="11">
        <v>1.00002E7</v>
      </c>
      <c r="D27" s="12" t="s">
        <v>8</v>
      </c>
      <c r="E27" s="13">
        <v>7.0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1">
        <f t="shared" si="1"/>
        <v>27</v>
      </c>
      <c r="B28" s="10" t="s">
        <v>5</v>
      </c>
      <c r="C28" s="11">
        <v>1.000022E7</v>
      </c>
      <c r="D28" s="10" t="s">
        <v>13</v>
      </c>
      <c r="E28" s="21">
        <v>8.0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1">
        <f t="shared" si="1"/>
        <v>28</v>
      </c>
      <c r="B29" s="10" t="s">
        <v>5</v>
      </c>
      <c r="C29" s="11">
        <v>1.000018E7</v>
      </c>
      <c r="D29" s="10" t="s">
        <v>13</v>
      </c>
      <c r="E29" s="21">
        <v>6.0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1">
        <f t="shared" si="1"/>
        <v>29</v>
      </c>
      <c r="B30" s="10" t="s">
        <v>25</v>
      </c>
      <c r="C30" s="11">
        <v>1.000023E7</v>
      </c>
      <c r="D30" s="10" t="s">
        <v>13</v>
      </c>
      <c r="E30" s="23">
        <v>0.5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75" customHeight="1">
      <c r="A31" s="1">
        <f t="shared" si="1"/>
        <v>30</v>
      </c>
      <c r="B31" s="10" t="s">
        <v>25</v>
      </c>
      <c r="C31" s="11">
        <v>1.000013E7</v>
      </c>
      <c r="D31" s="10" t="s">
        <v>13</v>
      </c>
      <c r="E31" s="23">
        <v>0.5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1">
        <f t="shared" si="1"/>
        <v>31</v>
      </c>
      <c r="B32" s="10" t="s">
        <v>25</v>
      </c>
      <c r="C32" s="11">
        <v>1.000018E7</v>
      </c>
      <c r="D32" s="10" t="s">
        <v>13</v>
      </c>
      <c r="E32" s="23">
        <v>0.5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1">
        <f t="shared" si="1"/>
        <v>32</v>
      </c>
      <c r="B33" s="10" t="s">
        <v>5</v>
      </c>
      <c r="C33" s="11">
        <v>1.000011E7</v>
      </c>
      <c r="D33" s="10" t="s">
        <v>13</v>
      </c>
      <c r="E33" s="21">
        <v>1.0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75" customHeight="1">
      <c r="A34" s="1">
        <f t="shared" si="1"/>
        <v>33</v>
      </c>
      <c r="B34" s="10" t="s">
        <v>25</v>
      </c>
      <c r="C34" s="11">
        <v>1.000011E7</v>
      </c>
      <c r="D34" s="10" t="s">
        <v>13</v>
      </c>
      <c r="E34" s="23">
        <v>0.5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1">
        <f t="shared" si="1"/>
        <v>34</v>
      </c>
      <c r="B35" s="10" t="s">
        <v>5</v>
      </c>
      <c r="C35" s="11">
        <v>1.000011E7</v>
      </c>
      <c r="D35" s="12" t="s">
        <v>8</v>
      </c>
      <c r="E35" s="13">
        <v>1.0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1">
        <f t="shared" si="1"/>
        <v>35</v>
      </c>
      <c r="B36" s="10" t="s">
        <v>25</v>
      </c>
      <c r="C36" s="11">
        <v>1.000016E7</v>
      </c>
      <c r="D36" s="10" t="s">
        <v>13</v>
      </c>
      <c r="E36" s="23">
        <v>0.5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75" customHeight="1">
      <c r="A37" s="1">
        <f t="shared" si="1"/>
        <v>36</v>
      </c>
      <c r="B37" s="10" t="s">
        <v>25</v>
      </c>
      <c r="C37" s="11">
        <v>1.000021E7</v>
      </c>
      <c r="D37" s="10" t="s">
        <v>13</v>
      </c>
      <c r="E37" s="23">
        <v>0.5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 customHeight="1">
      <c r="A38" s="1">
        <f t="shared" si="1"/>
        <v>37</v>
      </c>
      <c r="B38" s="10" t="s">
        <v>5</v>
      </c>
      <c r="C38" s="11">
        <v>1.000021E7</v>
      </c>
      <c r="D38" s="12" t="s">
        <v>8</v>
      </c>
      <c r="E38" s="13">
        <v>3.0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75" customHeight="1">
      <c r="A39" s="1">
        <f t="shared" si="1"/>
        <v>38</v>
      </c>
      <c r="B39" s="10" t="s">
        <v>5</v>
      </c>
      <c r="C39" s="11">
        <v>1.000022E7</v>
      </c>
      <c r="D39" s="10" t="s">
        <v>13</v>
      </c>
      <c r="E39" s="21">
        <v>3.0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75" customHeight="1">
      <c r="A40" s="1">
        <f t="shared" si="1"/>
        <v>39</v>
      </c>
      <c r="B40" s="10" t="s">
        <v>25</v>
      </c>
      <c r="C40" s="11">
        <v>1.000015E7</v>
      </c>
      <c r="D40" s="10" t="s">
        <v>13</v>
      </c>
      <c r="E40" s="23">
        <v>0.5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1">
        <f t="shared" si="1"/>
        <v>40</v>
      </c>
      <c r="B41" s="10" t="s">
        <v>25</v>
      </c>
      <c r="C41" s="11">
        <v>1.000017E7</v>
      </c>
      <c r="D41" s="10" t="s">
        <v>13</v>
      </c>
      <c r="E41" s="23">
        <v>0.5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1">
        <f t="shared" si="1"/>
        <v>41</v>
      </c>
      <c r="B42" s="10" t="s">
        <v>25</v>
      </c>
      <c r="C42" s="11">
        <v>1.000022E7</v>
      </c>
      <c r="D42" s="10" t="s">
        <v>13</v>
      </c>
      <c r="E42" s="23">
        <v>0.5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1">
        <f t="shared" si="1"/>
        <v>42</v>
      </c>
      <c r="B43" s="10" t="s">
        <v>5</v>
      </c>
      <c r="C43" s="11">
        <v>1.000029E7</v>
      </c>
      <c r="D43" s="10" t="s">
        <v>13</v>
      </c>
      <c r="E43" s="21">
        <v>4.0</v>
      </c>
      <c r="F43" s="3"/>
      <c r="G43" s="3"/>
      <c r="H43" s="3" t="s">
        <v>20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75" customHeight="1">
      <c r="A44" s="1">
        <f t="shared" si="1"/>
        <v>43</v>
      </c>
      <c r="B44" s="10" t="s">
        <v>25</v>
      </c>
      <c r="C44" s="11">
        <v>1.000029E7</v>
      </c>
      <c r="D44" s="10" t="s">
        <v>13</v>
      </c>
      <c r="E44" s="23">
        <v>0.5</v>
      </c>
      <c r="F44" s="3"/>
      <c r="G44" s="3"/>
      <c r="H44" s="3" t="s">
        <v>20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75" customHeight="1">
      <c r="A45" s="1">
        <f t="shared" si="1"/>
        <v>44</v>
      </c>
      <c r="B45" s="10" t="s">
        <v>25</v>
      </c>
      <c r="C45" s="11">
        <v>1.000027E7</v>
      </c>
      <c r="D45" s="10" t="s">
        <v>13</v>
      </c>
      <c r="E45" s="23">
        <v>0.5</v>
      </c>
      <c r="F45" s="3"/>
      <c r="G45" s="3"/>
      <c r="H45" s="3" t="s">
        <v>20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1">
        <f t="shared" si="1"/>
        <v>45</v>
      </c>
      <c r="B46" s="10" t="s">
        <v>25</v>
      </c>
      <c r="C46" s="11">
        <v>1.000025E7</v>
      </c>
      <c r="D46" s="10" t="s">
        <v>13</v>
      </c>
      <c r="E46" s="23">
        <v>0.5</v>
      </c>
      <c r="F46" s="3"/>
      <c r="G46" s="3"/>
      <c r="H46" s="3" t="s">
        <v>20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1">
        <f t="shared" si="1"/>
        <v>46</v>
      </c>
      <c r="B47" s="10" t="s">
        <v>25</v>
      </c>
      <c r="C47" s="11">
        <v>1.000026E7</v>
      </c>
      <c r="D47" s="10" t="s">
        <v>13</v>
      </c>
      <c r="E47" s="23">
        <v>0.5</v>
      </c>
      <c r="F47" s="3"/>
      <c r="G47" s="3"/>
      <c r="H47" s="3" t="s">
        <v>20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75" customHeight="1">
      <c r="A48" s="1">
        <f t="shared" si="1"/>
        <v>47</v>
      </c>
      <c r="B48" s="10" t="s">
        <v>5</v>
      </c>
      <c r="C48" s="11">
        <v>1.000026E7</v>
      </c>
      <c r="D48" s="12" t="s">
        <v>8</v>
      </c>
      <c r="E48" s="13">
        <v>1.0</v>
      </c>
      <c r="F48" s="3"/>
      <c r="G48" s="3"/>
      <c r="H48" s="3" t="s">
        <v>33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75" customHeight="1">
      <c r="A49" s="1">
        <f t="shared" si="1"/>
        <v>48</v>
      </c>
      <c r="B49" s="10" t="s">
        <v>12</v>
      </c>
      <c r="C49" s="11">
        <v>1.000015E7</v>
      </c>
      <c r="D49" s="10" t="s">
        <v>13</v>
      </c>
      <c r="E49" s="17">
        <v>1.0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75" customHeight="1">
      <c r="A50" s="1">
        <f t="shared" si="1"/>
        <v>49</v>
      </c>
      <c r="B50" s="10" t="s">
        <v>12</v>
      </c>
      <c r="C50" s="11">
        <v>1.00001E7</v>
      </c>
      <c r="D50" s="10" t="s">
        <v>13</v>
      </c>
      <c r="E50" s="17">
        <v>1.0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1">
        <f t="shared" si="1"/>
        <v>50</v>
      </c>
      <c r="B51" s="10" t="s">
        <v>12</v>
      </c>
      <c r="C51" s="11">
        <v>1.000012E7</v>
      </c>
      <c r="D51" s="10" t="s">
        <v>13</v>
      </c>
      <c r="E51" s="17">
        <v>1.0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1">
        <f t="shared" si="1"/>
        <v>51</v>
      </c>
      <c r="B52" s="10" t="s">
        <v>12</v>
      </c>
      <c r="C52" s="11">
        <v>1.000014E7</v>
      </c>
      <c r="D52" s="10" t="s">
        <v>13</v>
      </c>
      <c r="E52" s="17">
        <v>1.0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1">
        <f t="shared" si="1"/>
        <v>52</v>
      </c>
      <c r="B53" s="10" t="s">
        <v>12</v>
      </c>
      <c r="C53" s="11">
        <v>1.000024E7</v>
      </c>
      <c r="D53" s="10" t="s">
        <v>13</v>
      </c>
      <c r="E53" s="17">
        <v>1.0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1">
        <f t="shared" si="1"/>
        <v>53</v>
      </c>
      <c r="B54" s="10" t="s">
        <v>12</v>
      </c>
      <c r="C54" s="11">
        <v>1.000019E7</v>
      </c>
      <c r="D54" s="10" t="s">
        <v>13</v>
      </c>
      <c r="E54" s="17">
        <v>1.0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1">
        <f t="shared" si="1"/>
        <v>54</v>
      </c>
      <c r="B55" s="10" t="s">
        <v>12</v>
      </c>
      <c r="C55" s="11">
        <v>1.000028E7</v>
      </c>
      <c r="D55" s="10" t="s">
        <v>13</v>
      </c>
      <c r="E55" s="17">
        <v>1.0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1">
        <f t="shared" si="1"/>
        <v>55</v>
      </c>
      <c r="B56" s="10" t="s">
        <v>25</v>
      </c>
      <c r="C56" s="11">
        <v>1.000029E7</v>
      </c>
      <c r="D56" s="12" t="s">
        <v>8</v>
      </c>
      <c r="E56" s="23"/>
      <c r="F56" s="3"/>
      <c r="G56" s="3"/>
      <c r="H56" s="3" t="s">
        <v>30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1">
        <f t="shared" si="1"/>
        <v>56</v>
      </c>
      <c r="B57" s="10" t="s">
        <v>25</v>
      </c>
      <c r="C57" s="11">
        <v>1.000015E7</v>
      </c>
      <c r="D57" s="12" t="s">
        <v>8</v>
      </c>
      <c r="E57" s="23"/>
      <c r="F57" s="3"/>
      <c r="G57" s="3"/>
      <c r="H57" s="3" t="s">
        <v>31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1">
        <f t="shared" si="1"/>
        <v>57</v>
      </c>
      <c r="B58" s="10" t="s">
        <v>5</v>
      </c>
      <c r="C58" s="11">
        <v>1.000029E7</v>
      </c>
      <c r="D58" s="12" t="s">
        <v>8</v>
      </c>
      <c r="E58" s="13">
        <v>8.0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1">
        <f t="shared" si="1"/>
        <v>58</v>
      </c>
      <c r="B59" s="10" t="s">
        <v>5</v>
      </c>
      <c r="C59" s="11">
        <v>1.00001E7</v>
      </c>
      <c r="D59" s="10" t="s">
        <v>13</v>
      </c>
      <c r="E59" s="21">
        <v>1.0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1">
        <f t="shared" si="1"/>
        <v>59</v>
      </c>
      <c r="B60" s="10" t="s">
        <v>5</v>
      </c>
      <c r="C60" s="11">
        <v>1.000009E7</v>
      </c>
      <c r="D60" s="12" t="s">
        <v>8</v>
      </c>
      <c r="E60" s="13">
        <v>1.0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1">
        <f t="shared" si="1"/>
        <v>60</v>
      </c>
      <c r="B61" s="10" t="s">
        <v>5</v>
      </c>
      <c r="C61" s="11">
        <v>1.000015E7</v>
      </c>
      <c r="D61" s="10" t="s">
        <v>13</v>
      </c>
      <c r="E61" s="21">
        <v>4.0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1">
        <f t="shared" si="1"/>
        <v>61</v>
      </c>
      <c r="B62" s="10" t="s">
        <v>5</v>
      </c>
      <c r="C62" s="11">
        <v>1.0000155E7</v>
      </c>
      <c r="D62" s="12" t="s">
        <v>8</v>
      </c>
      <c r="E62" s="13">
        <v>5.0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1">
        <f t="shared" si="1"/>
        <v>62</v>
      </c>
      <c r="B63" s="10" t="s">
        <v>5</v>
      </c>
      <c r="C63" s="11">
        <v>1.000028E7</v>
      </c>
      <c r="D63" s="10" t="s">
        <v>13</v>
      </c>
      <c r="E63" s="21">
        <v>7.0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75" customHeight="1">
      <c r="A64" s="1">
        <f t="shared" si="1"/>
        <v>63</v>
      </c>
      <c r="B64" s="10" t="s">
        <v>34</v>
      </c>
      <c r="C64" s="11">
        <v>9.99999999E8</v>
      </c>
      <c r="D64" s="12" t="s">
        <v>8</v>
      </c>
      <c r="E64" s="12"/>
      <c r="F64" s="3"/>
      <c r="G64" s="3"/>
      <c r="H64" s="3" t="s">
        <v>35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75" customHeight="1">
      <c r="A65" s="3"/>
      <c r="B65" s="5"/>
      <c r="C65" s="27"/>
      <c r="D65" s="5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75" customHeight="1">
      <c r="A66" s="3"/>
      <c r="B66" s="5"/>
      <c r="C66" s="28" t="s">
        <v>9</v>
      </c>
      <c r="D66" s="15"/>
      <c r="E66" s="29">
        <f>COUNTIFS(B2:B64,"Alta",D2:D64,"SI")</f>
        <v>21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75" customHeight="1">
      <c r="A67" s="3"/>
      <c r="B67" s="5"/>
      <c r="C67" s="28" t="s">
        <v>14</v>
      </c>
      <c r="D67" s="15"/>
      <c r="E67" s="30">
        <f>MAXIFS(E2:E64, B2:B64,"Alta",D2:D64,"SI")</f>
        <v>1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75" customHeight="1">
      <c r="A68" s="3"/>
      <c r="B68" s="5"/>
      <c r="C68" s="28" t="s">
        <v>15</v>
      </c>
      <c r="D68" s="15"/>
      <c r="E68" s="29">
        <f>ROUND(SUMIFS(E2:E64,B2:B64,"Alta",D2:D64,"SI")/E66,3)</f>
        <v>1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75" customHeight="1">
      <c r="A69" s="3"/>
      <c r="B69" s="5"/>
      <c r="C69" s="28" t="s">
        <v>16</v>
      </c>
      <c r="D69" s="15"/>
      <c r="E69" s="31">
        <f>COUNTIFS(B2:B64,"Baja",D2:D64,"SI")</f>
        <v>14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75" customHeight="1">
      <c r="A70" s="3"/>
      <c r="B70" s="5"/>
      <c r="C70" s="28" t="s">
        <v>18</v>
      </c>
      <c r="D70" s="15"/>
      <c r="E70" s="32">
        <f>MAXIFS(E2:E64, B2:B64,"Baja",D2:D64,"SI")</f>
        <v>0.5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75" customHeight="1">
      <c r="A71" s="3"/>
      <c r="B71" s="5"/>
      <c r="C71" s="28" t="s">
        <v>19</v>
      </c>
      <c r="D71" s="15"/>
      <c r="E71" s="31">
        <f>ROUND(SUMIFS(E2:E64,B2:B64,"Baja",D2:D64,"SI")/E69,3)</f>
        <v>0.5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75" customHeight="1">
      <c r="A72" s="3"/>
      <c r="B72" s="5"/>
      <c r="C72" s="28" t="s">
        <v>21</v>
      </c>
      <c r="D72" s="15"/>
      <c r="E72" s="33">
        <f>COUNTIFS(B2:B64,"Evoc",D2:D64,"SI")</f>
        <v>14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75" customHeight="1">
      <c r="A73" s="3"/>
      <c r="B73" s="5"/>
      <c r="C73" s="28" t="s">
        <v>22</v>
      </c>
      <c r="D73" s="15"/>
      <c r="E73" s="34">
        <f>MAXIFS(E2:E64, B2:B64,"Evoc",D2:D64,"SI")</f>
        <v>14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75" customHeight="1">
      <c r="A74" s="3"/>
      <c r="B74" s="5"/>
      <c r="C74" s="28" t="s">
        <v>23</v>
      </c>
      <c r="D74" s="15"/>
      <c r="E74" s="33">
        <f>ROUND(SUMIFS(E2:E64,B2:B64,"Evoc",D2:D64,"SI")/E72,3)</f>
        <v>5.357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75" customHeight="1">
      <c r="A75" s="3"/>
      <c r="B75" s="5"/>
      <c r="C75" s="28" t="s">
        <v>24</v>
      </c>
      <c r="D75" s="15"/>
      <c r="E75" s="13">
        <f>COUNTIFS(B2:B64,"Evoc",D2:D64,"NO")</f>
        <v>8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75" customHeight="1">
      <c r="A76" s="3"/>
      <c r="B76" s="5"/>
      <c r="C76" s="28" t="s">
        <v>26</v>
      </c>
      <c r="D76" s="15"/>
      <c r="E76" s="13">
        <f>MAXIFS(E2:E64, B2:B64,"Evoc",D2:D64,"NO")</f>
        <v>8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75" customHeight="1">
      <c r="A77" s="3"/>
      <c r="B77" s="5"/>
      <c r="C77" s="28" t="s">
        <v>27</v>
      </c>
      <c r="D77" s="15"/>
      <c r="E77" s="13">
        <f>ROUND(SUMIFS(E2:E64,B2:B64,"Evoc",D2:D64,"NO")/E75,3)</f>
        <v>3.375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75" customHeight="1">
      <c r="A78" s="3"/>
      <c r="B78" s="3"/>
      <c r="C78" s="27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75" customHeight="1">
      <c r="A79" s="3"/>
      <c r="B79" s="3"/>
      <c r="C79" s="27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3"/>
      <c r="B80" s="3"/>
      <c r="C80" s="27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3"/>
      <c r="B81" s="3"/>
      <c r="C81" s="27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3"/>
      <c r="B82" s="3"/>
      <c r="C82" s="27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3"/>
      <c r="B83" s="3"/>
      <c r="C83" s="27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3"/>
      <c r="B84" s="3"/>
      <c r="C84" s="27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3"/>
      <c r="B85" s="3"/>
      <c r="C85" s="27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3"/>
      <c r="B86" s="3"/>
      <c r="C86" s="27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3"/>
      <c r="B87" s="3"/>
      <c r="C87" s="27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3"/>
      <c r="B88" s="3"/>
      <c r="C88" s="27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3"/>
      <c r="B89" s="3"/>
      <c r="C89" s="27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3"/>
      <c r="B90" s="3"/>
      <c r="C90" s="27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3"/>
      <c r="B91" s="3"/>
      <c r="C91" s="27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3"/>
      <c r="B92" s="3"/>
      <c r="C92" s="27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3"/>
      <c r="B93" s="3"/>
      <c r="C93" s="27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3"/>
      <c r="B94" s="3"/>
      <c r="C94" s="27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3"/>
      <c r="B95" s="3"/>
      <c r="C95" s="27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customHeight="1">
      <c r="A96" s="3"/>
      <c r="B96" s="3"/>
      <c r="C96" s="27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customHeight="1">
      <c r="A97" s="3"/>
      <c r="B97" s="3"/>
      <c r="C97" s="27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3"/>
      <c r="B98" s="3"/>
      <c r="C98" s="27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75" customHeight="1">
      <c r="A99" s="3"/>
      <c r="B99" s="3"/>
      <c r="C99" s="27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75" customHeight="1">
      <c r="A100" s="3"/>
      <c r="B100" s="3"/>
      <c r="C100" s="27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75" customHeight="1">
      <c r="A101" s="3"/>
      <c r="B101" s="3"/>
      <c r="C101" s="27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75" customHeight="1">
      <c r="A102" s="3"/>
      <c r="B102" s="3"/>
      <c r="C102" s="27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75" customHeight="1">
      <c r="A103" s="3"/>
      <c r="B103" s="3"/>
      <c r="C103" s="27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75" customHeight="1">
      <c r="A104" s="3"/>
      <c r="B104" s="3"/>
      <c r="C104" s="27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75" customHeight="1">
      <c r="A105" s="3"/>
      <c r="B105" s="3"/>
      <c r="C105" s="27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75" customHeight="1">
      <c r="A106" s="3"/>
      <c r="B106" s="3"/>
      <c r="C106" s="27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75" customHeight="1">
      <c r="A107" s="3"/>
      <c r="B107" s="3"/>
      <c r="C107" s="27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75" customHeight="1">
      <c r="A108" s="3"/>
      <c r="B108" s="3"/>
      <c r="C108" s="27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75" customHeight="1">
      <c r="A109" s="3"/>
      <c r="B109" s="3"/>
      <c r="C109" s="27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75" customHeight="1">
      <c r="A110" s="3"/>
      <c r="B110" s="3"/>
      <c r="C110" s="27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75" customHeight="1">
      <c r="A111" s="3"/>
      <c r="B111" s="3"/>
      <c r="C111" s="27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75" customHeight="1">
      <c r="A112" s="3"/>
      <c r="B112" s="3"/>
      <c r="C112" s="27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75" customHeight="1">
      <c r="A113" s="3"/>
      <c r="B113" s="3"/>
      <c r="C113" s="27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75" customHeight="1">
      <c r="A114" s="3"/>
      <c r="B114" s="3"/>
      <c r="C114" s="27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75" customHeight="1">
      <c r="A115" s="3"/>
      <c r="B115" s="3"/>
      <c r="C115" s="27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75" customHeight="1">
      <c r="A116" s="3"/>
      <c r="B116" s="3"/>
      <c r="C116" s="27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75" customHeight="1">
      <c r="A117" s="3"/>
      <c r="B117" s="3"/>
      <c r="C117" s="27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75" customHeight="1">
      <c r="A118" s="3"/>
      <c r="B118" s="3"/>
      <c r="C118" s="27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75" customHeight="1">
      <c r="A119" s="3"/>
      <c r="B119" s="3"/>
      <c r="C119" s="27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customHeight="1">
      <c r="A120" s="3"/>
      <c r="B120" s="3"/>
      <c r="C120" s="27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customHeight="1">
      <c r="A121" s="3"/>
      <c r="B121" s="3"/>
      <c r="C121" s="27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customHeight="1">
      <c r="A122" s="3"/>
      <c r="B122" s="3"/>
      <c r="C122" s="27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customHeight="1">
      <c r="A123" s="3"/>
      <c r="B123" s="3"/>
      <c r="C123" s="27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75" customHeight="1">
      <c r="A124" s="3"/>
      <c r="B124" s="3"/>
      <c r="C124" s="27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75" customHeight="1">
      <c r="A125" s="3"/>
      <c r="B125" s="3"/>
      <c r="C125" s="27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customHeight="1">
      <c r="A126" s="3"/>
      <c r="B126" s="3"/>
      <c r="C126" s="27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customHeight="1">
      <c r="A127" s="3"/>
      <c r="B127" s="3"/>
      <c r="C127" s="27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customHeight="1">
      <c r="A128" s="3"/>
      <c r="B128" s="3"/>
      <c r="C128" s="27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75" customHeight="1">
      <c r="A129" s="3"/>
      <c r="B129" s="3"/>
      <c r="C129" s="27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75" customHeight="1">
      <c r="A130" s="3"/>
      <c r="B130" s="3"/>
      <c r="C130" s="27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customHeight="1">
      <c r="A131" s="3"/>
      <c r="B131" s="3"/>
      <c r="C131" s="27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customHeight="1">
      <c r="A132" s="3"/>
      <c r="B132" s="3"/>
      <c r="C132" s="27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customHeight="1">
      <c r="A133" s="3"/>
      <c r="B133" s="3"/>
      <c r="C133" s="27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customHeight="1">
      <c r="A134" s="3"/>
      <c r="B134" s="3"/>
      <c r="C134" s="27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customHeight="1">
      <c r="A135" s="3"/>
      <c r="B135" s="3"/>
      <c r="C135" s="27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customHeight="1">
      <c r="A136" s="3"/>
      <c r="B136" s="3"/>
      <c r="C136" s="27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customHeight="1">
      <c r="A137" s="3"/>
      <c r="B137" s="3"/>
      <c r="C137" s="27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customHeight="1">
      <c r="A138" s="3"/>
      <c r="B138" s="3"/>
      <c r="C138" s="27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customHeight="1">
      <c r="A139" s="3"/>
      <c r="B139" s="3"/>
      <c r="C139" s="27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customHeight="1">
      <c r="A140" s="3"/>
      <c r="B140" s="3"/>
      <c r="C140" s="27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customHeight="1">
      <c r="A141" s="3"/>
      <c r="B141" s="3"/>
      <c r="C141" s="27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customHeight="1">
      <c r="A142" s="3"/>
      <c r="B142" s="3"/>
      <c r="C142" s="27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customHeight="1">
      <c r="A143" s="3"/>
      <c r="B143" s="3"/>
      <c r="C143" s="27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customHeight="1">
      <c r="A144" s="3"/>
      <c r="B144" s="3"/>
      <c r="C144" s="27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customHeight="1">
      <c r="A145" s="3"/>
      <c r="B145" s="3"/>
      <c r="C145" s="27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customHeight="1">
      <c r="A146" s="3"/>
      <c r="B146" s="3"/>
      <c r="C146" s="27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customHeight="1">
      <c r="A147" s="3"/>
      <c r="B147" s="3"/>
      <c r="C147" s="27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customHeight="1">
      <c r="A148" s="3"/>
      <c r="B148" s="3"/>
      <c r="C148" s="27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A149" s="3"/>
      <c r="B149" s="3"/>
      <c r="C149" s="27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customHeight="1">
      <c r="A150" s="3"/>
      <c r="B150" s="3"/>
      <c r="C150" s="27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customHeight="1">
      <c r="A151" s="3"/>
      <c r="B151" s="3"/>
      <c r="C151" s="27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customHeight="1">
      <c r="A152" s="3"/>
      <c r="B152" s="3"/>
      <c r="C152" s="27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customHeight="1">
      <c r="A153" s="3"/>
      <c r="B153" s="3"/>
      <c r="C153" s="27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customHeight="1">
      <c r="A154" s="3"/>
      <c r="B154" s="3"/>
      <c r="C154" s="27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A155" s="3"/>
      <c r="B155" s="3"/>
      <c r="C155" s="27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customHeight="1">
      <c r="A156" s="3"/>
      <c r="B156" s="3"/>
      <c r="C156" s="27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customHeight="1">
      <c r="A157" s="3"/>
      <c r="B157" s="3"/>
      <c r="C157" s="27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customHeight="1">
      <c r="A158" s="3"/>
      <c r="B158" s="3"/>
      <c r="C158" s="27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customHeight="1">
      <c r="A159" s="3"/>
      <c r="B159" s="3"/>
      <c r="C159" s="27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customHeight="1">
      <c r="A160" s="3"/>
      <c r="B160" s="3"/>
      <c r="C160" s="27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customHeight="1">
      <c r="A161" s="3"/>
      <c r="B161" s="3"/>
      <c r="C161" s="27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customHeight="1">
      <c r="A162" s="3"/>
      <c r="B162" s="3"/>
      <c r="C162" s="27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customHeight="1">
      <c r="A163" s="3"/>
      <c r="B163" s="3"/>
      <c r="C163" s="27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customHeight="1">
      <c r="A164" s="3"/>
      <c r="B164" s="3"/>
      <c r="C164" s="27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customHeight="1">
      <c r="A165" s="3"/>
      <c r="B165" s="3"/>
      <c r="C165" s="27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customHeight="1">
      <c r="A166" s="3"/>
      <c r="B166" s="3"/>
      <c r="C166" s="27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customHeight="1">
      <c r="A167" s="3"/>
      <c r="B167" s="3"/>
      <c r="C167" s="27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customHeight="1">
      <c r="A168" s="3"/>
      <c r="B168" s="3"/>
      <c r="C168" s="27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customHeight="1">
      <c r="A169" s="3"/>
      <c r="B169" s="3"/>
      <c r="C169" s="27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customHeight="1">
      <c r="A170" s="3"/>
      <c r="B170" s="3"/>
      <c r="C170" s="27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customHeight="1">
      <c r="A171" s="3"/>
      <c r="B171" s="3"/>
      <c r="C171" s="27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customHeight="1">
      <c r="A172" s="3"/>
      <c r="B172" s="3"/>
      <c r="C172" s="27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customHeight="1">
      <c r="A173" s="3"/>
      <c r="B173" s="3"/>
      <c r="C173" s="27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customHeight="1">
      <c r="A174" s="3"/>
      <c r="B174" s="3"/>
      <c r="C174" s="27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customHeight="1">
      <c r="A175" s="3"/>
      <c r="B175" s="3"/>
      <c r="C175" s="27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3"/>
      <c r="B176" s="3"/>
      <c r="C176" s="27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3"/>
      <c r="B177" s="3"/>
      <c r="C177" s="27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3"/>
      <c r="B178" s="3"/>
      <c r="C178" s="27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3"/>
      <c r="B179" s="3"/>
      <c r="C179" s="27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3"/>
      <c r="B180" s="3"/>
      <c r="C180" s="27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3"/>
      <c r="B181" s="3"/>
      <c r="C181" s="27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3"/>
      <c r="B182" s="3"/>
      <c r="C182" s="27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3"/>
      <c r="B183" s="3"/>
      <c r="C183" s="27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3"/>
      <c r="B184" s="3"/>
      <c r="C184" s="27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3"/>
      <c r="B185" s="3"/>
      <c r="C185" s="27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3"/>
      <c r="B186" s="3"/>
      <c r="C186" s="27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3"/>
      <c r="B187" s="3"/>
      <c r="C187" s="27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3"/>
      <c r="B188" s="3"/>
      <c r="C188" s="27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3"/>
      <c r="B189" s="3"/>
      <c r="C189" s="27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3"/>
      <c r="B190" s="3"/>
      <c r="C190" s="27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3"/>
      <c r="B191" s="3"/>
      <c r="C191" s="27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3"/>
      <c r="B192" s="3"/>
      <c r="C192" s="27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3"/>
      <c r="B193" s="3"/>
      <c r="C193" s="27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3"/>
      <c r="B194" s="3"/>
      <c r="C194" s="27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customHeight="1">
      <c r="A195" s="3"/>
      <c r="B195" s="3"/>
      <c r="C195" s="27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customHeight="1">
      <c r="A196" s="3"/>
      <c r="B196" s="3"/>
      <c r="C196" s="27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customHeight="1">
      <c r="A197" s="3"/>
      <c r="B197" s="3"/>
      <c r="C197" s="27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customHeight="1">
      <c r="A198" s="3"/>
      <c r="B198" s="3"/>
      <c r="C198" s="27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customHeight="1">
      <c r="A199" s="3"/>
      <c r="B199" s="3"/>
      <c r="C199" s="27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customHeight="1">
      <c r="A200" s="3"/>
      <c r="B200" s="3"/>
      <c r="C200" s="27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customHeight="1">
      <c r="A201" s="3"/>
      <c r="B201" s="3"/>
      <c r="C201" s="27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customHeight="1">
      <c r="A202" s="3"/>
      <c r="B202" s="3"/>
      <c r="C202" s="27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customHeight="1">
      <c r="A203" s="3"/>
      <c r="B203" s="3"/>
      <c r="C203" s="27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customHeight="1">
      <c r="A204" s="3"/>
      <c r="B204" s="3"/>
      <c r="C204" s="27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customHeight="1">
      <c r="A205" s="3"/>
      <c r="B205" s="3"/>
      <c r="C205" s="27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customHeight="1">
      <c r="A206" s="3"/>
      <c r="B206" s="3"/>
      <c r="C206" s="27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customHeight="1">
      <c r="A207" s="3"/>
      <c r="B207" s="3"/>
      <c r="C207" s="27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customHeight="1">
      <c r="A208" s="3"/>
      <c r="B208" s="3"/>
      <c r="C208" s="27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customHeight="1">
      <c r="A209" s="3"/>
      <c r="B209" s="3"/>
      <c r="C209" s="27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customHeight="1">
      <c r="A210" s="3"/>
      <c r="B210" s="3"/>
      <c r="C210" s="27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customHeight="1">
      <c r="A211" s="3"/>
      <c r="B211" s="3"/>
      <c r="C211" s="27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customHeight="1">
      <c r="A212" s="3"/>
      <c r="B212" s="3"/>
      <c r="C212" s="27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customHeight="1">
      <c r="A213" s="3"/>
      <c r="B213" s="3"/>
      <c r="C213" s="27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customHeight="1">
      <c r="A214" s="3"/>
      <c r="B214" s="3"/>
      <c r="C214" s="27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customHeight="1">
      <c r="A215" s="3"/>
      <c r="B215" s="3"/>
      <c r="C215" s="27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customHeight="1">
      <c r="A216" s="3"/>
      <c r="B216" s="3"/>
      <c r="C216" s="27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customHeight="1">
      <c r="A217" s="3"/>
      <c r="B217" s="3"/>
      <c r="C217" s="27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customHeight="1">
      <c r="A218" s="3"/>
      <c r="B218" s="3"/>
      <c r="C218" s="27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customHeight="1">
      <c r="A219" s="3"/>
      <c r="B219" s="3"/>
      <c r="C219" s="27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customHeight="1">
      <c r="A220" s="3"/>
      <c r="B220" s="3"/>
      <c r="C220" s="27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75" customHeight="1">
      <c r="A221" s="3"/>
      <c r="B221" s="3"/>
      <c r="C221" s="27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2.75" customHeight="1">
      <c r="A222" s="3"/>
      <c r="B222" s="3"/>
      <c r="C222" s="27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2.75" customHeight="1">
      <c r="A223" s="3"/>
      <c r="B223" s="3"/>
      <c r="C223" s="27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75" customHeight="1">
      <c r="A224" s="3"/>
      <c r="B224" s="3"/>
      <c r="C224" s="27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2.75" customHeight="1">
      <c r="A225" s="3"/>
      <c r="B225" s="3"/>
      <c r="C225" s="27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75" customHeight="1">
      <c r="A226" s="3"/>
      <c r="B226" s="3"/>
      <c r="C226" s="27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75" customHeight="1">
      <c r="A227" s="3"/>
      <c r="B227" s="3"/>
      <c r="C227" s="27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75" customHeight="1">
      <c r="A228" s="3"/>
      <c r="B228" s="3"/>
      <c r="C228" s="27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75" customHeight="1">
      <c r="A229" s="3"/>
      <c r="B229" s="3"/>
      <c r="C229" s="27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75" customHeight="1">
      <c r="A230" s="3"/>
      <c r="B230" s="3"/>
      <c r="C230" s="27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75" customHeight="1">
      <c r="A231" s="3"/>
      <c r="B231" s="3"/>
      <c r="C231" s="27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2.75" customHeight="1">
      <c r="A232" s="3"/>
      <c r="B232" s="3"/>
      <c r="C232" s="27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2.75" customHeight="1">
      <c r="A233" s="3"/>
      <c r="B233" s="3"/>
      <c r="C233" s="27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2.75" customHeight="1">
      <c r="A234" s="3"/>
      <c r="B234" s="3"/>
      <c r="C234" s="27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2.75" customHeight="1">
      <c r="A235" s="3"/>
      <c r="B235" s="3"/>
      <c r="C235" s="27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75" customHeight="1">
      <c r="A236" s="3"/>
      <c r="B236" s="3"/>
      <c r="C236" s="27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75" customHeight="1">
      <c r="A237" s="3"/>
      <c r="B237" s="3"/>
      <c r="C237" s="27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75" customHeight="1">
      <c r="A238" s="3"/>
      <c r="B238" s="3"/>
      <c r="C238" s="27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2.75" customHeight="1">
      <c r="A239" s="3"/>
      <c r="B239" s="3"/>
      <c r="C239" s="27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2.75" customHeight="1">
      <c r="A240" s="3"/>
      <c r="B240" s="3"/>
      <c r="C240" s="27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2.75" customHeight="1">
      <c r="A241" s="3"/>
      <c r="B241" s="3"/>
      <c r="C241" s="27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2.75" customHeight="1">
      <c r="A242" s="3"/>
      <c r="B242" s="3"/>
      <c r="C242" s="27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2.75" customHeight="1">
      <c r="A243" s="3"/>
      <c r="B243" s="3"/>
      <c r="C243" s="27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2.75" customHeight="1">
      <c r="A244" s="3"/>
      <c r="B244" s="3"/>
      <c r="C244" s="27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75" customHeight="1">
      <c r="A245" s="3"/>
      <c r="B245" s="3"/>
      <c r="C245" s="27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75" customHeight="1">
      <c r="A246" s="3"/>
      <c r="B246" s="3"/>
      <c r="C246" s="27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75" customHeight="1">
      <c r="A247" s="3"/>
      <c r="B247" s="3"/>
      <c r="C247" s="27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2.75" customHeight="1">
      <c r="A248" s="3"/>
      <c r="B248" s="3"/>
      <c r="C248" s="27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2.75" customHeight="1">
      <c r="A249" s="3"/>
      <c r="B249" s="3"/>
      <c r="C249" s="27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2.75" customHeight="1">
      <c r="A250" s="3"/>
      <c r="B250" s="3"/>
      <c r="C250" s="27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2.75" customHeight="1">
      <c r="A251" s="3"/>
      <c r="B251" s="3"/>
      <c r="C251" s="27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2.75" customHeight="1">
      <c r="A252" s="3"/>
      <c r="B252" s="3"/>
      <c r="C252" s="27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2.75" customHeight="1">
      <c r="A253" s="3"/>
      <c r="B253" s="3"/>
      <c r="C253" s="27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2.75" customHeight="1">
      <c r="A254" s="3"/>
      <c r="B254" s="3"/>
      <c r="C254" s="27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2.75" customHeight="1">
      <c r="A255" s="3"/>
      <c r="B255" s="3"/>
      <c r="C255" s="27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2.75" customHeight="1">
      <c r="A256" s="3"/>
      <c r="B256" s="3"/>
      <c r="C256" s="27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2.75" customHeight="1">
      <c r="A257" s="3"/>
      <c r="B257" s="3"/>
      <c r="C257" s="27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2.75" customHeight="1">
      <c r="A258" s="3"/>
      <c r="B258" s="3"/>
      <c r="C258" s="27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2.75" customHeight="1">
      <c r="A259" s="3"/>
      <c r="B259" s="3"/>
      <c r="C259" s="27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2.75" customHeight="1">
      <c r="A260" s="3"/>
      <c r="B260" s="3"/>
      <c r="C260" s="27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2.75" customHeight="1">
      <c r="A261" s="3"/>
      <c r="B261" s="3"/>
      <c r="C261" s="27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2.75" customHeight="1">
      <c r="A262" s="3"/>
      <c r="B262" s="3"/>
      <c r="C262" s="27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2.75" customHeight="1">
      <c r="A263" s="3"/>
      <c r="B263" s="3"/>
      <c r="C263" s="27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2.75" customHeight="1">
      <c r="A264" s="3"/>
      <c r="B264" s="3"/>
      <c r="C264" s="27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2.75" customHeight="1">
      <c r="A265" s="3"/>
      <c r="B265" s="3"/>
      <c r="C265" s="27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2.75" customHeight="1">
      <c r="A266" s="3"/>
      <c r="B266" s="3"/>
      <c r="C266" s="27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2.75" customHeight="1">
      <c r="A267" s="3"/>
      <c r="B267" s="3"/>
      <c r="C267" s="27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2.75" customHeight="1">
      <c r="A268" s="3"/>
      <c r="B268" s="3"/>
      <c r="C268" s="27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2.75" customHeight="1">
      <c r="A269" s="3"/>
      <c r="B269" s="3"/>
      <c r="C269" s="27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2.75" customHeight="1">
      <c r="A270" s="3"/>
      <c r="B270" s="3"/>
      <c r="C270" s="27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2.75" customHeight="1">
      <c r="A271" s="3"/>
      <c r="B271" s="3"/>
      <c r="C271" s="27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2.75" customHeight="1">
      <c r="A272" s="3"/>
      <c r="B272" s="3"/>
      <c r="C272" s="27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2.75" customHeight="1">
      <c r="A273" s="3"/>
      <c r="B273" s="3"/>
      <c r="C273" s="27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$B$1:$E$60"/>
  <mergeCells count="13">
    <mergeCell ref="C72:D72"/>
    <mergeCell ref="C73:D73"/>
    <mergeCell ref="C74:D74"/>
    <mergeCell ref="C75:D75"/>
    <mergeCell ref="C76:D76"/>
    <mergeCell ref="C77:D77"/>
    <mergeCell ref="J1:K1"/>
    <mergeCell ref="C66:D66"/>
    <mergeCell ref="C67:D67"/>
    <mergeCell ref="C68:D68"/>
    <mergeCell ref="C69:D69"/>
    <mergeCell ref="C70:D70"/>
    <mergeCell ref="C71:D71"/>
  </mergeCells>
  <printOptions/>
  <pageMargins bottom="0.196527777777778" footer="0.0" header="0.0" left="0.196527777777778" right="0.196527777777778" top="0.196527777777778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.0"/>
    <col customWidth="1" min="2" max="2" width="11.63"/>
    <col customWidth="1" min="3" max="3" width="12.38"/>
    <col customWidth="1" min="4" max="4" width="11.63"/>
    <col customWidth="1" min="5" max="5" width="12.5"/>
    <col customWidth="1" min="6" max="6" width="6.13"/>
    <col customWidth="1" min="7" max="7" width="3.63"/>
    <col customWidth="1" min="8" max="8" width="11.63"/>
    <col customWidth="1" min="9" max="9" width="5.5"/>
    <col customWidth="1" min="10" max="10" width="4.88"/>
    <col customWidth="1" min="11" max="11" width="10.25"/>
    <col customWidth="1" min="12" max="12" width="6.13"/>
    <col customWidth="1" min="13" max="25" width="14.63"/>
    <col customWidth="1" min="26" max="26" width="12.75"/>
  </cols>
  <sheetData>
    <row r="1" ht="17.25" customHeight="1">
      <c r="A1" s="1"/>
      <c r="B1" s="2" t="s">
        <v>0</v>
      </c>
      <c r="C1" s="4" t="s">
        <v>1</v>
      </c>
      <c r="D1" s="2" t="s">
        <v>2</v>
      </c>
      <c r="E1" s="2" t="s">
        <v>3</v>
      </c>
      <c r="F1" s="5"/>
      <c r="G1" s="3"/>
      <c r="H1" s="3"/>
      <c r="I1" s="6"/>
      <c r="J1" s="7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75" customHeight="1">
      <c r="A2" s="1">
        <v>1.0</v>
      </c>
      <c r="B2" s="10" t="s">
        <v>5</v>
      </c>
      <c r="C2" s="11">
        <v>1.00001E7</v>
      </c>
      <c r="D2" s="12" t="s">
        <v>8</v>
      </c>
      <c r="E2" s="13">
        <v>0.0</v>
      </c>
      <c r="F2" s="3"/>
      <c r="G2" s="3"/>
      <c r="H2" s="3" t="s">
        <v>10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2.75" customHeight="1">
      <c r="A3" s="1">
        <f t="shared" ref="A3:A64" si="1">A2+1</f>
        <v>2</v>
      </c>
      <c r="B3" s="10" t="s">
        <v>12</v>
      </c>
      <c r="C3" s="11">
        <v>1.00002E7</v>
      </c>
      <c r="D3" s="10" t="s">
        <v>13</v>
      </c>
      <c r="E3" s="17">
        <v>0.5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2.75" customHeight="1">
      <c r="A4" s="1">
        <f t="shared" si="1"/>
        <v>3</v>
      </c>
      <c r="B4" s="10" t="s">
        <v>12</v>
      </c>
      <c r="C4" s="11">
        <v>1.000015E7</v>
      </c>
      <c r="D4" s="10" t="s">
        <v>13</v>
      </c>
      <c r="E4" s="17">
        <v>0.5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2.75" customHeight="1">
      <c r="A5" s="1">
        <f t="shared" si="1"/>
        <v>4</v>
      </c>
      <c r="B5" s="10" t="s">
        <v>12</v>
      </c>
      <c r="C5" s="11">
        <v>1.000013E7</v>
      </c>
      <c r="D5" s="10" t="s">
        <v>13</v>
      </c>
      <c r="E5" s="17">
        <v>0.5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2.75" customHeight="1">
      <c r="A6" s="1">
        <f t="shared" si="1"/>
        <v>5</v>
      </c>
      <c r="B6" s="10" t="s">
        <v>12</v>
      </c>
      <c r="C6" s="11">
        <v>1.000011E7</v>
      </c>
      <c r="D6" s="10" t="s">
        <v>13</v>
      </c>
      <c r="E6" s="17">
        <v>0.5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2.75" customHeight="1">
      <c r="A7" s="1">
        <f t="shared" si="1"/>
        <v>6</v>
      </c>
      <c r="B7" s="10" t="s">
        <v>12</v>
      </c>
      <c r="C7" s="11">
        <v>1.000018E7</v>
      </c>
      <c r="D7" s="10" t="s">
        <v>13</v>
      </c>
      <c r="E7" s="17">
        <v>0.5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2.75" customHeight="1">
      <c r="A8" s="1">
        <f t="shared" si="1"/>
        <v>7</v>
      </c>
      <c r="B8" s="10" t="s">
        <v>12</v>
      </c>
      <c r="C8" s="11">
        <v>1.000016E7</v>
      </c>
      <c r="D8" s="10" t="s">
        <v>13</v>
      </c>
      <c r="E8" s="17">
        <v>0.5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2.75" customHeight="1">
      <c r="A9" s="1">
        <f t="shared" si="1"/>
        <v>8</v>
      </c>
      <c r="B9" s="10" t="s">
        <v>12</v>
      </c>
      <c r="C9" s="11">
        <v>1.000017E7</v>
      </c>
      <c r="D9" s="10" t="s">
        <v>13</v>
      </c>
      <c r="E9" s="17">
        <v>0.5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2.75" customHeight="1">
      <c r="A10" s="1">
        <f t="shared" si="1"/>
        <v>9</v>
      </c>
      <c r="B10" s="10" t="s">
        <v>12</v>
      </c>
      <c r="C10" s="11">
        <v>1.00002E7</v>
      </c>
      <c r="D10" s="12" t="s">
        <v>8</v>
      </c>
      <c r="E10" s="17"/>
      <c r="F10" s="3"/>
      <c r="G10" s="3"/>
      <c r="H10" s="3" t="s">
        <v>17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2.75" customHeight="1">
      <c r="A11" s="1">
        <f t="shared" si="1"/>
        <v>10</v>
      </c>
      <c r="B11" s="10" t="s">
        <v>12</v>
      </c>
      <c r="C11" s="11">
        <v>1.000011E7</v>
      </c>
      <c r="D11" s="12" t="s">
        <v>8</v>
      </c>
      <c r="E11" s="17"/>
      <c r="F11" s="3"/>
      <c r="G11" s="3"/>
      <c r="H11" s="3" t="s">
        <v>17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2.75" customHeight="1">
      <c r="A12" s="1">
        <f t="shared" si="1"/>
        <v>11</v>
      </c>
      <c r="B12" s="10" t="s">
        <v>12</v>
      </c>
      <c r="C12" s="11">
        <v>1.000015E7</v>
      </c>
      <c r="D12" s="12" t="s">
        <v>8</v>
      </c>
      <c r="E12" s="17"/>
      <c r="F12" s="3"/>
      <c r="G12" s="3"/>
      <c r="H12" s="3" t="s">
        <v>17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2.75" customHeight="1">
      <c r="A13" s="1">
        <f t="shared" si="1"/>
        <v>12</v>
      </c>
      <c r="B13" s="10" t="s">
        <v>12</v>
      </c>
      <c r="C13" s="11">
        <v>1.000021E7</v>
      </c>
      <c r="D13" s="10" t="s">
        <v>13</v>
      </c>
      <c r="E13" s="17">
        <v>0.5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2.75" customHeight="1">
      <c r="A14" s="1">
        <f t="shared" si="1"/>
        <v>13</v>
      </c>
      <c r="B14" s="10" t="s">
        <v>12</v>
      </c>
      <c r="C14" s="11">
        <v>1.000023E7</v>
      </c>
      <c r="D14" s="10" t="s">
        <v>13</v>
      </c>
      <c r="E14" s="17">
        <v>0.5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2.75" customHeight="1">
      <c r="A15" s="1">
        <f t="shared" si="1"/>
        <v>14</v>
      </c>
      <c r="B15" s="10" t="s">
        <v>12</v>
      </c>
      <c r="C15" s="11">
        <v>1.000022E7</v>
      </c>
      <c r="D15" s="10" t="s">
        <v>13</v>
      </c>
      <c r="E15" s="17">
        <v>0.5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2.75" customHeight="1">
      <c r="A16" s="1">
        <f t="shared" si="1"/>
        <v>15</v>
      </c>
      <c r="B16" s="10" t="s">
        <v>12</v>
      </c>
      <c r="C16" s="11">
        <v>1.000027E7</v>
      </c>
      <c r="D16" s="10" t="s">
        <v>13</v>
      </c>
      <c r="E16" s="17">
        <v>0.5</v>
      </c>
      <c r="F16" s="3"/>
      <c r="G16" s="3"/>
      <c r="H16" s="3" t="s">
        <v>20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2.75" customHeight="1">
      <c r="A17" s="1">
        <f t="shared" si="1"/>
        <v>16</v>
      </c>
      <c r="B17" s="10" t="s">
        <v>12</v>
      </c>
      <c r="C17" s="11">
        <v>1.000029E7</v>
      </c>
      <c r="D17" s="10" t="s">
        <v>13</v>
      </c>
      <c r="E17" s="17">
        <v>0.5</v>
      </c>
      <c r="F17" s="3"/>
      <c r="G17" s="3"/>
      <c r="H17" s="3" t="s">
        <v>20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2.75" customHeight="1">
      <c r="A18" s="1">
        <f t="shared" si="1"/>
        <v>17</v>
      </c>
      <c r="B18" s="10" t="s">
        <v>12</v>
      </c>
      <c r="C18" s="11">
        <v>1.000025E7</v>
      </c>
      <c r="D18" s="10" t="s">
        <v>13</v>
      </c>
      <c r="E18" s="17">
        <v>0.5</v>
      </c>
      <c r="F18" s="3"/>
      <c r="G18" s="3"/>
      <c r="H18" s="3" t="s">
        <v>20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2.75" customHeight="1">
      <c r="A19" s="1">
        <f t="shared" si="1"/>
        <v>18</v>
      </c>
      <c r="B19" s="10" t="s">
        <v>12</v>
      </c>
      <c r="C19" s="11">
        <v>1.000026E7</v>
      </c>
      <c r="D19" s="10" t="s">
        <v>13</v>
      </c>
      <c r="E19" s="17">
        <v>0.5</v>
      </c>
      <c r="F19" s="3"/>
      <c r="G19" s="3"/>
      <c r="H19" s="3" t="s">
        <v>20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2.75" customHeight="1">
      <c r="A20" s="1">
        <f t="shared" si="1"/>
        <v>19</v>
      </c>
      <c r="B20" s="10" t="s">
        <v>5</v>
      </c>
      <c r="C20" s="11">
        <v>1.000023E7</v>
      </c>
      <c r="D20" s="10" t="s">
        <v>13</v>
      </c>
      <c r="E20" s="21">
        <v>3.0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2.75" customHeight="1">
      <c r="A21" s="1">
        <f t="shared" si="1"/>
        <v>20</v>
      </c>
      <c r="B21" s="10" t="s">
        <v>5</v>
      </c>
      <c r="C21" s="11">
        <v>1.00002E7</v>
      </c>
      <c r="D21" s="10" t="s">
        <v>13</v>
      </c>
      <c r="E21" s="21">
        <v>1.0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2.75" customHeight="1">
      <c r="A22" s="1">
        <f t="shared" si="1"/>
        <v>21</v>
      </c>
      <c r="B22" s="10" t="s">
        <v>5</v>
      </c>
      <c r="C22" s="11">
        <v>1.000011E7</v>
      </c>
      <c r="D22" s="10" t="s">
        <v>13</v>
      </c>
      <c r="E22" s="21">
        <v>4.0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2.75" customHeight="1">
      <c r="A23" s="1">
        <f t="shared" si="1"/>
        <v>22</v>
      </c>
      <c r="B23" s="10" t="s">
        <v>5</v>
      </c>
      <c r="C23" s="11">
        <v>1.000017E7</v>
      </c>
      <c r="D23" s="10" t="s">
        <v>13</v>
      </c>
      <c r="E23" s="21">
        <v>5.0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75" customHeight="1">
      <c r="A24" s="1">
        <f t="shared" si="1"/>
        <v>23</v>
      </c>
      <c r="B24" s="10" t="s">
        <v>5</v>
      </c>
      <c r="C24" s="11">
        <v>1.000016E7</v>
      </c>
      <c r="D24" s="10" t="s">
        <v>13</v>
      </c>
      <c r="E24" s="21">
        <v>4.0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75" customHeight="1">
      <c r="A25" s="1">
        <f t="shared" si="1"/>
        <v>24</v>
      </c>
      <c r="B25" s="10" t="s">
        <v>5</v>
      </c>
      <c r="C25" s="11">
        <v>1.000029E7</v>
      </c>
      <c r="D25" s="10" t="s">
        <v>13</v>
      </c>
      <c r="E25" s="21">
        <v>5.0</v>
      </c>
      <c r="F25" s="3"/>
      <c r="G25" s="3"/>
      <c r="H25" s="3" t="s">
        <v>20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75" customHeight="1">
      <c r="A26" s="1">
        <f t="shared" si="1"/>
        <v>25</v>
      </c>
      <c r="B26" s="10" t="s">
        <v>25</v>
      </c>
      <c r="C26" s="11">
        <v>1.00002E7</v>
      </c>
      <c r="D26" s="10" t="s">
        <v>13</v>
      </c>
      <c r="E26" s="23">
        <v>1.5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75" customHeight="1">
      <c r="A27" s="1">
        <f t="shared" si="1"/>
        <v>26</v>
      </c>
      <c r="B27" s="10" t="s">
        <v>5</v>
      </c>
      <c r="C27" s="11">
        <v>1.00002E7</v>
      </c>
      <c r="D27" s="12" t="s">
        <v>8</v>
      </c>
      <c r="E27" s="13">
        <v>3.0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1">
        <f t="shared" si="1"/>
        <v>27</v>
      </c>
      <c r="B28" s="10" t="s">
        <v>5</v>
      </c>
      <c r="C28" s="11">
        <v>1.000022E7</v>
      </c>
      <c r="D28" s="10" t="s">
        <v>13</v>
      </c>
      <c r="E28" s="21">
        <v>3.0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1">
        <f t="shared" si="1"/>
        <v>28</v>
      </c>
      <c r="B29" s="10" t="s">
        <v>5</v>
      </c>
      <c r="C29" s="11">
        <v>1.000018E7</v>
      </c>
      <c r="D29" s="10" t="s">
        <v>13</v>
      </c>
      <c r="E29" s="21">
        <v>3.0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1">
        <f t="shared" si="1"/>
        <v>29</v>
      </c>
      <c r="B30" s="10" t="s">
        <v>25</v>
      </c>
      <c r="C30" s="11">
        <v>1.000023E7</v>
      </c>
      <c r="D30" s="10" t="s">
        <v>13</v>
      </c>
      <c r="E30" s="23">
        <v>1.5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75" customHeight="1">
      <c r="A31" s="1">
        <f t="shared" si="1"/>
        <v>30</v>
      </c>
      <c r="B31" s="10" t="s">
        <v>25</v>
      </c>
      <c r="C31" s="11">
        <v>1.000013E7</v>
      </c>
      <c r="D31" s="10" t="s">
        <v>13</v>
      </c>
      <c r="E31" s="23">
        <v>0.5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1">
        <f t="shared" si="1"/>
        <v>31</v>
      </c>
      <c r="B32" s="10" t="s">
        <v>25</v>
      </c>
      <c r="C32" s="11">
        <v>1.000018E7</v>
      </c>
      <c r="D32" s="10" t="s">
        <v>13</v>
      </c>
      <c r="E32" s="23">
        <v>0.5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1">
        <f t="shared" si="1"/>
        <v>32</v>
      </c>
      <c r="B33" s="10" t="s">
        <v>5</v>
      </c>
      <c r="C33" s="11">
        <v>1.000011E7</v>
      </c>
      <c r="D33" s="10" t="s">
        <v>13</v>
      </c>
      <c r="E33" s="21">
        <v>3.0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75" customHeight="1">
      <c r="A34" s="1">
        <f t="shared" si="1"/>
        <v>33</v>
      </c>
      <c r="B34" s="10" t="s">
        <v>25</v>
      </c>
      <c r="C34" s="11">
        <v>1.000011E7</v>
      </c>
      <c r="D34" s="10" t="s">
        <v>13</v>
      </c>
      <c r="E34" s="23">
        <v>0.5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1">
        <f t="shared" si="1"/>
        <v>34</v>
      </c>
      <c r="B35" s="10" t="s">
        <v>5</v>
      </c>
      <c r="C35" s="11">
        <v>1.000011E7</v>
      </c>
      <c r="D35" s="12" t="s">
        <v>8</v>
      </c>
      <c r="E35" s="13">
        <v>2.0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1">
        <f t="shared" si="1"/>
        <v>35</v>
      </c>
      <c r="B36" s="10" t="s">
        <v>25</v>
      </c>
      <c r="C36" s="11">
        <v>1.000016E7</v>
      </c>
      <c r="D36" s="10" t="s">
        <v>13</v>
      </c>
      <c r="E36" s="23">
        <v>0.5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75" customHeight="1">
      <c r="A37" s="1">
        <f t="shared" si="1"/>
        <v>36</v>
      </c>
      <c r="B37" s="10" t="s">
        <v>25</v>
      </c>
      <c r="C37" s="11">
        <v>1.000021E7</v>
      </c>
      <c r="D37" s="10" t="s">
        <v>13</v>
      </c>
      <c r="E37" s="23">
        <v>1.5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 customHeight="1">
      <c r="A38" s="1">
        <f t="shared" si="1"/>
        <v>37</v>
      </c>
      <c r="B38" s="10" t="s">
        <v>5</v>
      </c>
      <c r="C38" s="11">
        <v>1.000021E7</v>
      </c>
      <c r="D38" s="12" t="s">
        <v>8</v>
      </c>
      <c r="E38" s="13">
        <v>3.0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75" customHeight="1">
      <c r="A39" s="1">
        <f t="shared" si="1"/>
        <v>38</v>
      </c>
      <c r="B39" s="10" t="s">
        <v>5</v>
      </c>
      <c r="C39" s="11">
        <v>1.000022E7</v>
      </c>
      <c r="D39" s="10" t="s">
        <v>13</v>
      </c>
      <c r="E39" s="21">
        <v>1.0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75" customHeight="1">
      <c r="A40" s="1">
        <f t="shared" si="1"/>
        <v>39</v>
      </c>
      <c r="B40" s="10" t="s">
        <v>25</v>
      </c>
      <c r="C40" s="11">
        <v>1.000015E7</v>
      </c>
      <c r="D40" s="10" t="s">
        <v>13</v>
      </c>
      <c r="E40" s="23">
        <v>0.5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1">
        <f t="shared" si="1"/>
        <v>40</v>
      </c>
      <c r="B41" s="10" t="s">
        <v>25</v>
      </c>
      <c r="C41" s="11">
        <v>1.000017E7</v>
      </c>
      <c r="D41" s="10" t="s">
        <v>13</v>
      </c>
      <c r="E41" s="23">
        <v>0.5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1">
        <f t="shared" si="1"/>
        <v>41</v>
      </c>
      <c r="B42" s="10" t="s">
        <v>25</v>
      </c>
      <c r="C42" s="11">
        <v>1.000022E7</v>
      </c>
      <c r="D42" s="10" t="s">
        <v>13</v>
      </c>
      <c r="E42" s="23">
        <v>0.5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1">
        <f t="shared" si="1"/>
        <v>42</v>
      </c>
      <c r="B43" s="10" t="s">
        <v>5</v>
      </c>
      <c r="C43" s="11">
        <v>1.000029E7</v>
      </c>
      <c r="D43" s="10" t="s">
        <v>13</v>
      </c>
      <c r="E43" s="20">
        <v>3.0</v>
      </c>
      <c r="F43" s="3"/>
      <c r="G43" s="3"/>
      <c r="H43" s="3" t="s">
        <v>20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75" customHeight="1">
      <c r="A44" s="1">
        <f t="shared" si="1"/>
        <v>43</v>
      </c>
      <c r="B44" s="10" t="s">
        <v>25</v>
      </c>
      <c r="C44" s="11">
        <v>1.000029E7</v>
      </c>
      <c r="D44" s="10" t="s">
        <v>13</v>
      </c>
      <c r="E44" s="23">
        <v>0.5</v>
      </c>
      <c r="F44" s="3"/>
      <c r="G44" s="3"/>
      <c r="H44" s="3" t="s">
        <v>20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75" customHeight="1">
      <c r="A45" s="1">
        <f t="shared" si="1"/>
        <v>44</v>
      </c>
      <c r="B45" s="10" t="s">
        <v>25</v>
      </c>
      <c r="C45" s="11">
        <v>1.000027E7</v>
      </c>
      <c r="D45" s="10" t="s">
        <v>13</v>
      </c>
      <c r="E45" s="23">
        <v>0.5</v>
      </c>
      <c r="F45" s="3"/>
      <c r="G45" s="3"/>
      <c r="H45" s="3" t="s">
        <v>20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1">
        <f t="shared" si="1"/>
        <v>45</v>
      </c>
      <c r="B46" s="10" t="s">
        <v>25</v>
      </c>
      <c r="C46" s="11">
        <v>1.000025E7</v>
      </c>
      <c r="D46" s="10" t="s">
        <v>13</v>
      </c>
      <c r="E46" s="23">
        <v>0.5</v>
      </c>
      <c r="F46" s="3"/>
      <c r="G46" s="3"/>
      <c r="H46" s="3" t="s">
        <v>20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1">
        <f t="shared" si="1"/>
        <v>46</v>
      </c>
      <c r="B47" s="10" t="s">
        <v>25</v>
      </c>
      <c r="C47" s="11">
        <v>1.000026E7</v>
      </c>
      <c r="D47" s="10" t="s">
        <v>13</v>
      </c>
      <c r="E47" s="23">
        <v>0.5</v>
      </c>
      <c r="F47" s="3"/>
      <c r="G47" s="3"/>
      <c r="H47" s="3" t="s">
        <v>20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75" customHeight="1">
      <c r="A48" s="1">
        <f t="shared" si="1"/>
        <v>47</v>
      </c>
      <c r="B48" s="10" t="s">
        <v>5</v>
      </c>
      <c r="C48" s="11">
        <v>1.000026E7</v>
      </c>
      <c r="D48" s="12" t="s">
        <v>8</v>
      </c>
      <c r="E48" s="13">
        <v>0.0</v>
      </c>
      <c r="F48" s="3"/>
      <c r="G48" s="3"/>
      <c r="H48" s="3" t="s">
        <v>33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75" customHeight="1">
      <c r="A49" s="1">
        <f t="shared" si="1"/>
        <v>48</v>
      </c>
      <c r="B49" s="10" t="s">
        <v>12</v>
      </c>
      <c r="C49" s="11">
        <v>1.000015E7</v>
      </c>
      <c r="D49" s="10" t="s">
        <v>13</v>
      </c>
      <c r="E49" s="17">
        <v>0.5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75" customHeight="1">
      <c r="A50" s="1">
        <f t="shared" si="1"/>
        <v>49</v>
      </c>
      <c r="B50" s="10" t="s">
        <v>12</v>
      </c>
      <c r="C50" s="11">
        <v>1.00001E7</v>
      </c>
      <c r="D50" s="10" t="s">
        <v>13</v>
      </c>
      <c r="E50" s="17">
        <v>0.5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1">
        <f t="shared" si="1"/>
        <v>50</v>
      </c>
      <c r="B51" s="10" t="s">
        <v>12</v>
      </c>
      <c r="C51" s="11">
        <v>1.000012E7</v>
      </c>
      <c r="D51" s="10" t="s">
        <v>13</v>
      </c>
      <c r="E51" s="17">
        <v>0.5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1">
        <f t="shared" si="1"/>
        <v>51</v>
      </c>
      <c r="B52" s="10" t="s">
        <v>12</v>
      </c>
      <c r="C52" s="11">
        <v>1.000014E7</v>
      </c>
      <c r="D52" s="10" t="s">
        <v>13</v>
      </c>
      <c r="E52" s="17">
        <v>0.5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1">
        <f t="shared" si="1"/>
        <v>52</v>
      </c>
      <c r="B53" s="10" t="s">
        <v>12</v>
      </c>
      <c r="C53" s="11">
        <v>1.000024E7</v>
      </c>
      <c r="D53" s="10" t="s">
        <v>13</v>
      </c>
      <c r="E53" s="17">
        <v>0.5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1">
        <f t="shared" si="1"/>
        <v>53</v>
      </c>
      <c r="B54" s="10" t="s">
        <v>12</v>
      </c>
      <c r="C54" s="11">
        <v>1.000019E7</v>
      </c>
      <c r="D54" s="10" t="s">
        <v>13</v>
      </c>
      <c r="E54" s="17">
        <v>0.5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1">
        <f t="shared" si="1"/>
        <v>54</v>
      </c>
      <c r="B55" s="10" t="s">
        <v>12</v>
      </c>
      <c r="C55" s="11">
        <v>1.000028E7</v>
      </c>
      <c r="D55" s="10" t="s">
        <v>13</v>
      </c>
      <c r="E55" s="17">
        <v>0.5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1">
        <f t="shared" si="1"/>
        <v>55</v>
      </c>
      <c r="B56" s="10" t="s">
        <v>25</v>
      </c>
      <c r="C56" s="11">
        <v>1.000029E7</v>
      </c>
      <c r="D56" s="12" t="s">
        <v>8</v>
      </c>
      <c r="E56" s="23"/>
      <c r="F56" s="3"/>
      <c r="G56" s="3"/>
      <c r="H56" s="3" t="s">
        <v>30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1">
        <f t="shared" si="1"/>
        <v>56</v>
      </c>
      <c r="B57" s="10" t="s">
        <v>25</v>
      </c>
      <c r="C57" s="11">
        <v>1.000015E7</v>
      </c>
      <c r="D57" s="12" t="s">
        <v>8</v>
      </c>
      <c r="E57" s="23"/>
      <c r="F57" s="3"/>
      <c r="G57" s="3"/>
      <c r="H57" s="3" t="s">
        <v>31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1">
        <f t="shared" si="1"/>
        <v>57</v>
      </c>
      <c r="B58" s="10" t="s">
        <v>5</v>
      </c>
      <c r="C58" s="11">
        <v>1.000029E7</v>
      </c>
      <c r="D58" s="12" t="s">
        <v>8</v>
      </c>
      <c r="E58" s="13">
        <v>3.0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1">
        <f t="shared" si="1"/>
        <v>58</v>
      </c>
      <c r="B59" s="10" t="s">
        <v>5</v>
      </c>
      <c r="C59" s="11">
        <v>1.00001E7</v>
      </c>
      <c r="D59" s="10" t="s">
        <v>13</v>
      </c>
      <c r="E59" s="21">
        <v>2.0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1">
        <f t="shared" si="1"/>
        <v>59</v>
      </c>
      <c r="B60" s="10" t="s">
        <v>5</v>
      </c>
      <c r="C60" s="11">
        <v>1.000009E7</v>
      </c>
      <c r="D60" s="12" t="s">
        <v>8</v>
      </c>
      <c r="E60" s="13">
        <v>2.0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1">
        <f t="shared" si="1"/>
        <v>60</v>
      </c>
      <c r="B61" s="10" t="s">
        <v>5</v>
      </c>
      <c r="C61" s="11">
        <v>1.000015E7</v>
      </c>
      <c r="D61" s="10" t="s">
        <v>13</v>
      </c>
      <c r="E61" s="20">
        <v>1.0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1">
        <f t="shared" si="1"/>
        <v>61</v>
      </c>
      <c r="B62" s="10" t="s">
        <v>5</v>
      </c>
      <c r="C62" s="11">
        <v>1.0000155E7</v>
      </c>
      <c r="D62" s="12" t="s">
        <v>8</v>
      </c>
      <c r="E62" s="13">
        <v>3.0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1">
        <f t="shared" si="1"/>
        <v>62</v>
      </c>
      <c r="B63" s="10" t="s">
        <v>5</v>
      </c>
      <c r="C63" s="11">
        <v>1.000028E7</v>
      </c>
      <c r="D63" s="10" t="s">
        <v>13</v>
      </c>
      <c r="E63" s="21">
        <v>3.0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75" customHeight="1">
      <c r="A64" s="1">
        <f t="shared" si="1"/>
        <v>63</v>
      </c>
      <c r="B64" s="10" t="s">
        <v>5</v>
      </c>
      <c r="C64" s="11">
        <v>9.99999999E8</v>
      </c>
      <c r="D64" s="12" t="s">
        <v>8</v>
      </c>
      <c r="E64" s="26">
        <v>3.0</v>
      </c>
      <c r="F64" s="3"/>
      <c r="G64" s="3"/>
      <c r="H64" s="3" t="s">
        <v>32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75" customHeight="1">
      <c r="A65" s="3"/>
      <c r="B65" s="5"/>
      <c r="C65" s="27"/>
      <c r="D65" s="5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75" customHeight="1">
      <c r="A66" s="3"/>
      <c r="B66" s="5"/>
      <c r="C66" s="28" t="s">
        <v>9</v>
      </c>
      <c r="D66" s="15"/>
      <c r="E66" s="29">
        <f>COUNTIFS(B2:B64,"Alta",D2:D64,"SI")</f>
        <v>21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75" customHeight="1">
      <c r="A67" s="3"/>
      <c r="B67" s="5"/>
      <c r="C67" s="28" t="s">
        <v>14</v>
      </c>
      <c r="D67" s="15"/>
      <c r="E67" s="30">
        <f>MAXIFS(E2:E64, B2:B64,"Alta",D2:D64,"SI")</f>
        <v>0.5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75" customHeight="1">
      <c r="A68" s="3"/>
      <c r="B68" s="5"/>
      <c r="C68" s="28" t="s">
        <v>15</v>
      </c>
      <c r="D68" s="15"/>
      <c r="E68" s="29">
        <f>ROUND(SUMIFS(E2:E64,B2:B64,"Alta",D2:D64,"SI")/E66,3)</f>
        <v>0.5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75" customHeight="1">
      <c r="A69" s="3"/>
      <c r="B69" s="5"/>
      <c r="C69" s="28" t="s">
        <v>16</v>
      </c>
      <c r="D69" s="15"/>
      <c r="E69" s="31">
        <f>COUNTIFS(B2:B64,"Baja",D2:D64,"SI")</f>
        <v>14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75" customHeight="1">
      <c r="A70" s="3"/>
      <c r="B70" s="5"/>
      <c r="C70" s="28" t="s">
        <v>18</v>
      </c>
      <c r="D70" s="15"/>
      <c r="E70" s="32">
        <f>MAXIFS(E2:E64, B2:B64,"Baja",D2:D64,"SI")</f>
        <v>1.5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75" customHeight="1">
      <c r="A71" s="3"/>
      <c r="B71" s="5"/>
      <c r="C71" s="28" t="s">
        <v>19</v>
      </c>
      <c r="D71" s="15"/>
      <c r="E71" s="31">
        <f>ROUND(SUMIFS(E2:E64,B2:B64,"Baja",D2:D64,"SI")/E69,3)</f>
        <v>0.714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75" customHeight="1">
      <c r="A72" s="3"/>
      <c r="B72" s="5"/>
      <c r="C72" s="28" t="s">
        <v>21</v>
      </c>
      <c r="D72" s="15"/>
      <c r="E72" s="33">
        <f>COUNTIFS(B2:B64,"Evoc",D2:D64,"SI")</f>
        <v>14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75" customHeight="1">
      <c r="A73" s="3"/>
      <c r="B73" s="5"/>
      <c r="C73" s="28" t="s">
        <v>22</v>
      </c>
      <c r="D73" s="15"/>
      <c r="E73" s="34">
        <f>MAXIFS(E2:E64, B2:B64,"Evoc",D2:D64,"SI")</f>
        <v>5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75" customHeight="1">
      <c r="A74" s="3"/>
      <c r="B74" s="5"/>
      <c r="C74" s="28" t="s">
        <v>23</v>
      </c>
      <c r="D74" s="15"/>
      <c r="E74" s="33">
        <f>ROUND(SUMIFS(E2:E64,B2:B64,"Evoc",D2:D64,"SI")/E72,3)</f>
        <v>2.929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75" customHeight="1">
      <c r="A75" s="3"/>
      <c r="B75" s="5"/>
      <c r="C75" s="28" t="s">
        <v>24</v>
      </c>
      <c r="D75" s="15"/>
      <c r="E75" s="13">
        <f>COUNTIFS(B2:B64,"Evoc",D2:D64,"NO")</f>
        <v>9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75" customHeight="1">
      <c r="A76" s="3"/>
      <c r="B76" s="5"/>
      <c r="C76" s="28" t="s">
        <v>26</v>
      </c>
      <c r="D76" s="15"/>
      <c r="E76" s="13">
        <f>MAXIFS(E2:E64, B2:B64,"Evoc",D2:D64,"NO")</f>
        <v>3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75" customHeight="1">
      <c r="A77" s="3"/>
      <c r="B77" s="5"/>
      <c r="C77" s="28" t="s">
        <v>27</v>
      </c>
      <c r="D77" s="15"/>
      <c r="E77" s="13">
        <f>ROUND(SUMIFS(E2:E64,B2:B64,"Evoc",D2:D64,"NO")/E75,3)</f>
        <v>2.111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75" customHeight="1">
      <c r="A78" s="3"/>
      <c r="B78" s="3"/>
      <c r="C78" s="27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75" customHeight="1">
      <c r="A79" s="3"/>
      <c r="B79" s="3"/>
      <c r="C79" s="27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3"/>
      <c r="B80" s="3"/>
      <c r="C80" s="27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3"/>
      <c r="B81" s="3"/>
      <c r="C81" s="27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3"/>
      <c r="B82" s="3"/>
      <c r="C82" s="27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3"/>
      <c r="B83" s="3"/>
      <c r="C83" s="27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3"/>
      <c r="B84" s="3"/>
      <c r="C84" s="27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3"/>
      <c r="B85" s="3"/>
      <c r="C85" s="27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3"/>
      <c r="B86" s="3"/>
      <c r="C86" s="27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3"/>
      <c r="B87" s="3"/>
      <c r="C87" s="27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3"/>
      <c r="B88" s="3"/>
      <c r="C88" s="27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3"/>
      <c r="B89" s="3"/>
      <c r="C89" s="27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3"/>
      <c r="B90" s="3"/>
      <c r="C90" s="27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3"/>
      <c r="B91" s="3"/>
      <c r="C91" s="27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3"/>
      <c r="B92" s="3"/>
      <c r="C92" s="27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3"/>
      <c r="B93" s="3"/>
      <c r="C93" s="27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3"/>
      <c r="B94" s="3"/>
      <c r="C94" s="27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3"/>
      <c r="B95" s="3"/>
      <c r="C95" s="27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customHeight="1">
      <c r="A96" s="3"/>
      <c r="B96" s="3"/>
      <c r="C96" s="27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customHeight="1">
      <c r="A97" s="3"/>
      <c r="B97" s="3"/>
      <c r="C97" s="27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3"/>
      <c r="B98" s="3"/>
      <c r="C98" s="27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75" customHeight="1">
      <c r="A99" s="3"/>
      <c r="B99" s="3"/>
      <c r="C99" s="27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75" customHeight="1">
      <c r="A100" s="3"/>
      <c r="B100" s="3"/>
      <c r="C100" s="27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75" customHeight="1">
      <c r="A101" s="3"/>
      <c r="B101" s="3"/>
      <c r="C101" s="27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75" customHeight="1">
      <c r="A102" s="3"/>
      <c r="B102" s="3"/>
      <c r="C102" s="27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75" customHeight="1">
      <c r="A103" s="3"/>
      <c r="B103" s="3"/>
      <c r="C103" s="27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75" customHeight="1">
      <c r="A104" s="3"/>
      <c r="B104" s="3"/>
      <c r="C104" s="27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75" customHeight="1">
      <c r="A105" s="3"/>
      <c r="B105" s="3"/>
      <c r="C105" s="27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75" customHeight="1">
      <c r="A106" s="3"/>
      <c r="B106" s="3"/>
      <c r="C106" s="27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75" customHeight="1">
      <c r="A107" s="3"/>
      <c r="B107" s="3"/>
      <c r="C107" s="27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75" customHeight="1">
      <c r="A108" s="3"/>
      <c r="B108" s="3"/>
      <c r="C108" s="27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75" customHeight="1">
      <c r="A109" s="3"/>
      <c r="B109" s="3"/>
      <c r="C109" s="27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75" customHeight="1">
      <c r="A110" s="3"/>
      <c r="B110" s="3"/>
      <c r="C110" s="27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75" customHeight="1">
      <c r="A111" s="3"/>
      <c r="B111" s="3"/>
      <c r="C111" s="27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75" customHeight="1">
      <c r="A112" s="3"/>
      <c r="B112" s="3"/>
      <c r="C112" s="27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75" customHeight="1">
      <c r="A113" s="3"/>
      <c r="B113" s="3"/>
      <c r="C113" s="27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75" customHeight="1">
      <c r="A114" s="3"/>
      <c r="B114" s="3"/>
      <c r="C114" s="27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75" customHeight="1">
      <c r="A115" s="3"/>
      <c r="B115" s="3"/>
      <c r="C115" s="27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75" customHeight="1">
      <c r="A116" s="3"/>
      <c r="B116" s="3"/>
      <c r="C116" s="27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75" customHeight="1">
      <c r="A117" s="3"/>
      <c r="B117" s="3"/>
      <c r="C117" s="27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75" customHeight="1">
      <c r="A118" s="3"/>
      <c r="B118" s="3"/>
      <c r="C118" s="27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75" customHeight="1">
      <c r="A119" s="3"/>
      <c r="B119" s="3"/>
      <c r="C119" s="27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customHeight="1">
      <c r="A120" s="3"/>
      <c r="B120" s="3"/>
      <c r="C120" s="27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customHeight="1">
      <c r="A121" s="3"/>
      <c r="B121" s="3"/>
      <c r="C121" s="27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customHeight="1">
      <c r="A122" s="3"/>
      <c r="B122" s="3"/>
      <c r="C122" s="27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customHeight="1">
      <c r="A123" s="3"/>
      <c r="B123" s="3"/>
      <c r="C123" s="27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75" customHeight="1">
      <c r="A124" s="3"/>
      <c r="B124" s="3"/>
      <c r="C124" s="27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75" customHeight="1">
      <c r="A125" s="3"/>
      <c r="B125" s="3"/>
      <c r="C125" s="27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customHeight="1">
      <c r="A126" s="3"/>
      <c r="B126" s="3"/>
      <c r="C126" s="27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customHeight="1">
      <c r="A127" s="3"/>
      <c r="B127" s="3"/>
      <c r="C127" s="27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customHeight="1">
      <c r="A128" s="3"/>
      <c r="B128" s="3"/>
      <c r="C128" s="27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75" customHeight="1">
      <c r="A129" s="3"/>
      <c r="B129" s="3"/>
      <c r="C129" s="27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75" customHeight="1">
      <c r="A130" s="3"/>
      <c r="B130" s="3"/>
      <c r="C130" s="27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customHeight="1">
      <c r="A131" s="3"/>
      <c r="B131" s="3"/>
      <c r="C131" s="27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customHeight="1">
      <c r="A132" s="3"/>
      <c r="B132" s="3"/>
      <c r="C132" s="27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customHeight="1">
      <c r="A133" s="3"/>
      <c r="B133" s="3"/>
      <c r="C133" s="27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customHeight="1">
      <c r="A134" s="3"/>
      <c r="B134" s="3"/>
      <c r="C134" s="27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customHeight="1">
      <c r="A135" s="3"/>
      <c r="B135" s="3"/>
      <c r="C135" s="27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customHeight="1">
      <c r="A136" s="3"/>
      <c r="B136" s="3"/>
      <c r="C136" s="27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customHeight="1">
      <c r="A137" s="3"/>
      <c r="B137" s="3"/>
      <c r="C137" s="27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customHeight="1">
      <c r="A138" s="3"/>
      <c r="B138" s="3"/>
      <c r="C138" s="27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customHeight="1">
      <c r="A139" s="3"/>
      <c r="B139" s="3"/>
      <c r="C139" s="27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customHeight="1">
      <c r="A140" s="3"/>
      <c r="B140" s="3"/>
      <c r="C140" s="27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customHeight="1">
      <c r="A141" s="3"/>
      <c r="B141" s="3"/>
      <c r="C141" s="27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customHeight="1">
      <c r="A142" s="3"/>
      <c r="B142" s="3"/>
      <c r="C142" s="27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customHeight="1">
      <c r="A143" s="3"/>
      <c r="B143" s="3"/>
      <c r="C143" s="27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customHeight="1">
      <c r="A144" s="3"/>
      <c r="B144" s="3"/>
      <c r="C144" s="27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customHeight="1">
      <c r="A145" s="3"/>
      <c r="B145" s="3"/>
      <c r="C145" s="27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customHeight="1">
      <c r="A146" s="3"/>
      <c r="B146" s="3"/>
      <c r="C146" s="27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customHeight="1">
      <c r="A147" s="3"/>
      <c r="B147" s="3"/>
      <c r="C147" s="27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customHeight="1">
      <c r="A148" s="3"/>
      <c r="B148" s="3"/>
      <c r="C148" s="27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A149" s="3"/>
      <c r="B149" s="3"/>
      <c r="C149" s="27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customHeight="1">
      <c r="A150" s="3"/>
      <c r="B150" s="3"/>
      <c r="C150" s="27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customHeight="1">
      <c r="A151" s="3"/>
      <c r="B151" s="3"/>
      <c r="C151" s="27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customHeight="1">
      <c r="A152" s="3"/>
      <c r="B152" s="3"/>
      <c r="C152" s="27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customHeight="1">
      <c r="A153" s="3"/>
      <c r="B153" s="3"/>
      <c r="C153" s="27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customHeight="1">
      <c r="A154" s="3"/>
      <c r="B154" s="3"/>
      <c r="C154" s="27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A155" s="3"/>
      <c r="B155" s="3"/>
      <c r="C155" s="27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customHeight="1">
      <c r="A156" s="3"/>
      <c r="B156" s="3"/>
      <c r="C156" s="27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customHeight="1">
      <c r="A157" s="3"/>
      <c r="B157" s="3"/>
      <c r="C157" s="27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customHeight="1">
      <c r="A158" s="3"/>
      <c r="B158" s="3"/>
      <c r="C158" s="27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customHeight="1">
      <c r="A159" s="3"/>
      <c r="B159" s="3"/>
      <c r="C159" s="27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customHeight="1">
      <c r="A160" s="3"/>
      <c r="B160" s="3"/>
      <c r="C160" s="27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customHeight="1">
      <c r="A161" s="3"/>
      <c r="B161" s="3"/>
      <c r="C161" s="27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customHeight="1">
      <c r="A162" s="3"/>
      <c r="B162" s="3"/>
      <c r="C162" s="27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customHeight="1">
      <c r="A163" s="3"/>
      <c r="B163" s="3"/>
      <c r="C163" s="27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customHeight="1">
      <c r="A164" s="3"/>
      <c r="B164" s="3"/>
      <c r="C164" s="27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customHeight="1">
      <c r="A165" s="3"/>
      <c r="B165" s="3"/>
      <c r="C165" s="27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customHeight="1">
      <c r="A166" s="3"/>
      <c r="B166" s="3"/>
      <c r="C166" s="27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customHeight="1">
      <c r="A167" s="3"/>
      <c r="B167" s="3"/>
      <c r="C167" s="27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customHeight="1">
      <c r="A168" s="3"/>
      <c r="B168" s="3"/>
      <c r="C168" s="27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customHeight="1">
      <c r="A169" s="3"/>
      <c r="B169" s="3"/>
      <c r="C169" s="27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customHeight="1">
      <c r="A170" s="3"/>
      <c r="B170" s="3"/>
      <c r="C170" s="27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customHeight="1">
      <c r="A171" s="3"/>
      <c r="B171" s="3"/>
      <c r="C171" s="27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customHeight="1">
      <c r="A172" s="3"/>
      <c r="B172" s="3"/>
      <c r="C172" s="27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customHeight="1">
      <c r="A173" s="3"/>
      <c r="B173" s="3"/>
      <c r="C173" s="27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customHeight="1">
      <c r="A174" s="3"/>
      <c r="B174" s="3"/>
      <c r="C174" s="27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customHeight="1">
      <c r="A175" s="3"/>
      <c r="B175" s="3"/>
      <c r="C175" s="27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3"/>
      <c r="B176" s="3"/>
      <c r="C176" s="27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3"/>
      <c r="B177" s="3"/>
      <c r="C177" s="27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3"/>
      <c r="B178" s="3"/>
      <c r="C178" s="27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3"/>
      <c r="B179" s="3"/>
      <c r="C179" s="27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3"/>
      <c r="B180" s="3"/>
      <c r="C180" s="27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3"/>
      <c r="B181" s="3"/>
      <c r="C181" s="27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3"/>
      <c r="B182" s="3"/>
      <c r="C182" s="27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3"/>
      <c r="B183" s="3"/>
      <c r="C183" s="27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3"/>
      <c r="B184" s="3"/>
      <c r="C184" s="27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3"/>
      <c r="B185" s="3"/>
      <c r="C185" s="27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3"/>
      <c r="B186" s="3"/>
      <c r="C186" s="27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3"/>
      <c r="B187" s="3"/>
      <c r="C187" s="27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3"/>
      <c r="B188" s="3"/>
      <c r="C188" s="27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3"/>
      <c r="B189" s="3"/>
      <c r="C189" s="27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3"/>
      <c r="B190" s="3"/>
      <c r="C190" s="27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3"/>
      <c r="B191" s="3"/>
      <c r="C191" s="27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3"/>
      <c r="B192" s="3"/>
      <c r="C192" s="27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3"/>
      <c r="B193" s="3"/>
      <c r="C193" s="27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3"/>
      <c r="B194" s="3"/>
      <c r="C194" s="27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customHeight="1">
      <c r="A195" s="3"/>
      <c r="B195" s="3"/>
      <c r="C195" s="27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customHeight="1">
      <c r="A196" s="3"/>
      <c r="B196" s="3"/>
      <c r="C196" s="27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customHeight="1">
      <c r="A197" s="3"/>
      <c r="B197" s="3"/>
      <c r="C197" s="27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customHeight="1">
      <c r="A198" s="3"/>
      <c r="B198" s="3"/>
      <c r="C198" s="27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customHeight="1">
      <c r="A199" s="3"/>
      <c r="B199" s="3"/>
      <c r="C199" s="27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customHeight="1">
      <c r="A200" s="3"/>
      <c r="B200" s="3"/>
      <c r="C200" s="27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customHeight="1">
      <c r="A201" s="3"/>
      <c r="B201" s="3"/>
      <c r="C201" s="27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customHeight="1">
      <c r="A202" s="3"/>
      <c r="B202" s="3"/>
      <c r="C202" s="27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customHeight="1">
      <c r="A203" s="3"/>
      <c r="B203" s="3"/>
      <c r="C203" s="27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customHeight="1">
      <c r="A204" s="3"/>
      <c r="B204" s="3"/>
      <c r="C204" s="27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customHeight="1">
      <c r="A205" s="3"/>
      <c r="B205" s="3"/>
      <c r="C205" s="27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customHeight="1">
      <c r="A206" s="3"/>
      <c r="B206" s="3"/>
      <c r="C206" s="27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customHeight="1">
      <c r="A207" s="3"/>
      <c r="B207" s="3"/>
      <c r="C207" s="27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customHeight="1">
      <c r="A208" s="3"/>
      <c r="B208" s="3"/>
      <c r="C208" s="27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customHeight="1">
      <c r="A209" s="3"/>
      <c r="B209" s="3"/>
      <c r="C209" s="27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customHeight="1">
      <c r="A210" s="3"/>
      <c r="B210" s="3"/>
      <c r="C210" s="27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customHeight="1">
      <c r="A211" s="3"/>
      <c r="B211" s="3"/>
      <c r="C211" s="27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customHeight="1">
      <c r="A212" s="3"/>
      <c r="B212" s="3"/>
      <c r="C212" s="27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customHeight="1">
      <c r="A213" s="3"/>
      <c r="B213" s="3"/>
      <c r="C213" s="27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customHeight="1">
      <c r="A214" s="3"/>
      <c r="B214" s="3"/>
      <c r="C214" s="27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customHeight="1">
      <c r="A215" s="3"/>
      <c r="B215" s="3"/>
      <c r="C215" s="27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customHeight="1">
      <c r="A216" s="3"/>
      <c r="B216" s="3"/>
      <c r="C216" s="27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customHeight="1">
      <c r="A217" s="3"/>
      <c r="B217" s="3"/>
      <c r="C217" s="27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customHeight="1">
      <c r="A218" s="3"/>
      <c r="B218" s="3"/>
      <c r="C218" s="27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customHeight="1">
      <c r="A219" s="3"/>
      <c r="B219" s="3"/>
      <c r="C219" s="27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customHeight="1">
      <c r="A220" s="3"/>
      <c r="B220" s="3"/>
      <c r="C220" s="27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75" customHeight="1">
      <c r="A221" s="3"/>
      <c r="B221" s="3"/>
      <c r="C221" s="27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2.75" customHeight="1">
      <c r="A222" s="3"/>
      <c r="B222" s="3"/>
      <c r="C222" s="27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2.75" customHeight="1">
      <c r="A223" s="3"/>
      <c r="B223" s="3"/>
      <c r="C223" s="27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75" customHeight="1">
      <c r="A224" s="3"/>
      <c r="B224" s="3"/>
      <c r="C224" s="27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2.75" customHeight="1">
      <c r="A225" s="3"/>
      <c r="B225" s="3"/>
      <c r="C225" s="27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75" customHeight="1">
      <c r="A226" s="3"/>
      <c r="B226" s="3"/>
      <c r="C226" s="27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75" customHeight="1">
      <c r="A227" s="3"/>
      <c r="B227" s="3"/>
      <c r="C227" s="27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75" customHeight="1">
      <c r="A228" s="3"/>
      <c r="B228" s="3"/>
      <c r="C228" s="27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75" customHeight="1">
      <c r="A229" s="3"/>
      <c r="B229" s="3"/>
      <c r="C229" s="27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75" customHeight="1">
      <c r="A230" s="3"/>
      <c r="B230" s="3"/>
      <c r="C230" s="27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75" customHeight="1">
      <c r="A231" s="3"/>
      <c r="B231" s="3"/>
      <c r="C231" s="27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2.75" customHeight="1">
      <c r="A232" s="3"/>
      <c r="B232" s="3"/>
      <c r="C232" s="27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2.75" customHeight="1">
      <c r="A233" s="3"/>
      <c r="B233" s="3"/>
      <c r="C233" s="27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2.75" customHeight="1">
      <c r="A234" s="3"/>
      <c r="B234" s="3"/>
      <c r="C234" s="27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2.75" customHeight="1">
      <c r="A235" s="3"/>
      <c r="B235" s="3"/>
      <c r="C235" s="27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75" customHeight="1">
      <c r="A236" s="3"/>
      <c r="B236" s="3"/>
      <c r="C236" s="27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75" customHeight="1">
      <c r="A237" s="3"/>
      <c r="B237" s="3"/>
      <c r="C237" s="27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75" customHeight="1">
      <c r="A238" s="3"/>
      <c r="B238" s="3"/>
      <c r="C238" s="27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2.75" customHeight="1">
      <c r="A239" s="3"/>
      <c r="B239" s="3"/>
      <c r="C239" s="27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2.75" customHeight="1">
      <c r="A240" s="3"/>
      <c r="B240" s="3"/>
      <c r="C240" s="27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2.75" customHeight="1">
      <c r="A241" s="3"/>
      <c r="B241" s="3"/>
      <c r="C241" s="27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2.75" customHeight="1">
      <c r="A242" s="3"/>
      <c r="B242" s="3"/>
      <c r="C242" s="27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2.75" customHeight="1">
      <c r="A243" s="3"/>
      <c r="B243" s="3"/>
      <c r="C243" s="27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2.75" customHeight="1">
      <c r="A244" s="3"/>
      <c r="B244" s="3"/>
      <c r="C244" s="27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75" customHeight="1">
      <c r="A245" s="3"/>
      <c r="B245" s="3"/>
      <c r="C245" s="27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75" customHeight="1">
      <c r="A246" s="3"/>
      <c r="B246" s="3"/>
      <c r="C246" s="27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75" customHeight="1">
      <c r="A247" s="3"/>
      <c r="B247" s="3"/>
      <c r="C247" s="27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2.75" customHeight="1">
      <c r="A248" s="3"/>
      <c r="B248" s="3"/>
      <c r="C248" s="27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2.75" customHeight="1">
      <c r="A249" s="3"/>
      <c r="B249" s="3"/>
      <c r="C249" s="27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2.75" customHeight="1">
      <c r="A250" s="3"/>
      <c r="B250" s="3"/>
      <c r="C250" s="27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2.75" customHeight="1">
      <c r="A251" s="3"/>
      <c r="B251" s="3"/>
      <c r="C251" s="27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2.75" customHeight="1">
      <c r="A252" s="3"/>
      <c r="B252" s="3"/>
      <c r="C252" s="27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2.75" customHeight="1">
      <c r="A253" s="3"/>
      <c r="B253" s="3"/>
      <c r="C253" s="27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2.75" customHeight="1">
      <c r="A254" s="3"/>
      <c r="B254" s="3"/>
      <c r="C254" s="27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2.75" customHeight="1">
      <c r="A255" s="3"/>
      <c r="B255" s="3"/>
      <c r="C255" s="27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2.75" customHeight="1">
      <c r="A256" s="3"/>
      <c r="B256" s="3"/>
      <c r="C256" s="27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2.75" customHeight="1">
      <c r="A257" s="3"/>
      <c r="B257" s="3"/>
      <c r="C257" s="27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2.75" customHeight="1">
      <c r="A258" s="3"/>
      <c r="B258" s="3"/>
      <c r="C258" s="27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2.75" customHeight="1">
      <c r="A259" s="3"/>
      <c r="B259" s="3"/>
      <c r="C259" s="27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2.75" customHeight="1">
      <c r="A260" s="3"/>
      <c r="B260" s="3"/>
      <c r="C260" s="27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2.75" customHeight="1">
      <c r="A261" s="3"/>
      <c r="B261" s="3"/>
      <c r="C261" s="27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2.75" customHeight="1">
      <c r="A262" s="3"/>
      <c r="B262" s="3"/>
      <c r="C262" s="27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2.75" customHeight="1">
      <c r="A263" s="3"/>
      <c r="B263" s="3"/>
      <c r="C263" s="27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2.75" customHeight="1">
      <c r="A264" s="3"/>
      <c r="B264" s="3"/>
      <c r="C264" s="27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2.75" customHeight="1">
      <c r="A265" s="3"/>
      <c r="B265" s="3"/>
      <c r="C265" s="27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2.75" customHeight="1">
      <c r="A266" s="3"/>
      <c r="B266" s="3"/>
      <c r="C266" s="27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2.75" customHeight="1">
      <c r="A267" s="3"/>
      <c r="B267" s="3"/>
      <c r="C267" s="27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2.75" customHeight="1">
      <c r="A268" s="3"/>
      <c r="B268" s="3"/>
      <c r="C268" s="27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2.75" customHeight="1">
      <c r="A269" s="3"/>
      <c r="B269" s="3"/>
      <c r="C269" s="27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2.75" customHeight="1">
      <c r="A270" s="3"/>
      <c r="B270" s="3"/>
      <c r="C270" s="27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2.75" customHeight="1">
      <c r="A271" s="3"/>
      <c r="B271" s="3"/>
      <c r="C271" s="27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2.75" customHeight="1">
      <c r="A272" s="3"/>
      <c r="B272" s="3"/>
      <c r="C272" s="27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2.75" customHeight="1">
      <c r="A273" s="3"/>
      <c r="B273" s="3"/>
      <c r="C273" s="27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2.75" customHeight="1">
      <c r="A274" s="3"/>
      <c r="B274" s="3"/>
      <c r="C274" s="27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2.75" customHeight="1">
      <c r="A275" s="3"/>
      <c r="B275" s="3"/>
      <c r="C275" s="27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2.75" customHeight="1">
      <c r="A276" s="3"/>
      <c r="B276" s="3"/>
      <c r="C276" s="27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2.75" customHeight="1">
      <c r="A277" s="3"/>
      <c r="B277" s="3"/>
      <c r="C277" s="27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$B$1:$E$63"/>
  <mergeCells count="13">
    <mergeCell ref="C72:D72"/>
    <mergeCell ref="C73:D73"/>
    <mergeCell ref="C74:D74"/>
    <mergeCell ref="C75:D75"/>
    <mergeCell ref="C76:D76"/>
    <mergeCell ref="C77:D77"/>
    <mergeCell ref="J1:K1"/>
    <mergeCell ref="C66:D66"/>
    <mergeCell ref="C67:D67"/>
    <mergeCell ref="C68:D68"/>
    <mergeCell ref="C69:D69"/>
    <mergeCell ref="C70:D70"/>
    <mergeCell ref="C71:D71"/>
  </mergeCells>
  <printOptions/>
  <pageMargins bottom="0.196527777777778" footer="0.0" header="0.0" left="0.196527777777778" right="0.196527777777778" top="0.196527777777778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/>
</file>